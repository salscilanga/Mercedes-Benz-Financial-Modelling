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Historical" sheetId="3" state="visible" r:id="rId5"/>
    <sheet name="Operating Model" sheetId="4" state="visible" r:id="rId6"/>
    <sheet name="P&amp;L Forecast" sheetId="5" state="visible" r:id="rId7"/>
    <sheet name="Cash Flow" sheetId="6" state="visible" r:id="rId8"/>
    <sheet name="DCF Valuation" sheetId="7" state="visible" r:id="rId9"/>
    <sheet name="Dashboard" sheetId="8" state="visible" r:id="rId10"/>
    <sheet name="Summary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<sst xmlns="http://schemas.openxmlformats.org/spreadsheetml/2006/main" count="385" uniqueCount="191">
  <si>
    <t xml:space="preserve">Mercedes-Benz Financial Modelling Project</t>
  </si>
  <si>
    <t xml:space="preserve">Purpose</t>
  </si>
  <si>
    <t xml:space="preserve">Build a driver-based corporate finance / FP&amp;A model for Mercedes-Benz, linking operating assumptions to revenue, margins, cash flow and valuation.</t>
  </si>
  <si>
    <t xml:space="preserve">Sheet</t>
  </si>
  <si>
    <t xml:space="preserve">What it does</t>
  </si>
  <si>
    <t xml:space="preserve">Assumptions</t>
  </si>
  <si>
    <t xml:space="preserve">Editable forecast drivers and valuation assumptions</t>
  </si>
  <si>
    <t xml:space="preserve">Historical</t>
  </si>
  <si>
    <t xml:space="preserve">Historical P&amp;L and operating data placeholders</t>
  </si>
  <si>
    <t xml:space="preserve">Operating Model</t>
  </si>
  <si>
    <t xml:space="preserve">Cars sold, pricing, revenue and margin drivers</t>
  </si>
  <si>
    <t xml:space="preserve">P&amp;L Forecast</t>
  </si>
  <si>
    <t xml:space="preserve">Forecast income statement</t>
  </si>
  <si>
    <t xml:space="preserve">Cash Flow</t>
  </si>
  <si>
    <t xml:space="preserve">Simplified free cash flow build</t>
  </si>
  <si>
    <t xml:space="preserve">DCF Valuation</t>
  </si>
  <si>
    <t xml:space="preserve">Enterprise value and equity value bridge</t>
  </si>
  <si>
    <t xml:space="preserve">Dashboard</t>
  </si>
  <si>
    <t xml:space="preserve">Key outputs and charts</t>
  </si>
  <si>
    <t xml:space="preserve">How to use</t>
  </si>
  <si>
    <t xml:space="preserve">1</t>
  </si>
  <si>
    <t xml:space="preserve">Replace yellow / blue-font assumption cells with researched Mercedes-Benz data.</t>
  </si>
  <si>
    <t xml:space="preserve">2</t>
  </si>
  <si>
    <t xml:space="preserve">Populate the Historical sheet for the last 3 years.</t>
  </si>
  <si>
    <t xml:space="preserve">3</t>
  </si>
  <si>
    <t xml:space="preserve">Review forecast drivers in Assumptions and Operating Model.</t>
  </si>
  <si>
    <t xml:space="preserve">4</t>
  </si>
  <si>
    <t xml:space="preserve">Check P&amp;L, cash flow and DCF outputs.</t>
  </si>
  <si>
    <t xml:space="preserve">5</t>
  </si>
  <si>
    <t xml:space="preserve">Use the Dashboard for the final presentation / portfolio case study.</t>
  </si>
  <si>
    <t xml:space="preserve">Forecast Assumptions</t>
  </si>
  <si>
    <t xml:space="preserve">Metric</t>
  </si>
  <si>
    <t xml:space="preserve">Unit</t>
  </si>
  <si>
    <t xml:space="preserve">2025A</t>
  </si>
  <si>
    <t xml:space="preserve">2026E</t>
  </si>
  <si>
    <t xml:space="preserve">2027E</t>
  </si>
  <si>
    <t xml:space="preserve">2028E</t>
  </si>
  <si>
    <t xml:space="preserve">2029E</t>
  </si>
  <si>
    <t xml:space="preserve">Vehicle volume growth</t>
  </si>
  <si>
    <t xml:space="preserve">%</t>
  </si>
  <si>
    <t xml:space="preserve">-</t>
  </si>
  <si>
    <t xml:space="preserve">Vans revenue growth</t>
  </si>
  <si>
    <t xml:space="preserve">Average selling price growth</t>
  </si>
  <si>
    <t xml:space="preserve">Financial services revenue growth</t>
  </si>
  <si>
    <t xml:space="preserve">Gross margin</t>
  </si>
  <si>
    <t xml:space="preserve">R&amp;D as % of revenue</t>
  </si>
  <si>
    <t xml:space="preserve">SG&amp;A as % of revenue</t>
  </si>
  <si>
    <t xml:space="preserve">Other items % Revenue </t>
  </si>
  <si>
    <t xml:space="preserve">Tax rate</t>
  </si>
  <si>
    <t xml:space="preserve">D&amp;A as % of revenue</t>
  </si>
  <si>
    <t xml:space="preserve">Capex as % of revenue</t>
  </si>
  <si>
    <t xml:space="preserve">NWC as % of revenue</t>
  </si>
  <si>
    <t xml:space="preserve">RECONCILIATION %</t>
  </si>
  <si>
    <t xml:space="preserve">DCF Assumptions</t>
  </si>
  <si>
    <t xml:space="preserve">WACC</t>
  </si>
  <si>
    <t xml:space="preserve">Low Scenario WACC </t>
  </si>
  <si>
    <t xml:space="preserve">Low Scenario Terminal Growth </t>
  </si>
  <si>
    <t xml:space="preserve">High Scenario WACC </t>
  </si>
  <si>
    <t xml:space="preserve">High Scenario Terminal Growth </t>
  </si>
  <si>
    <t xml:space="preserve">Terminal growth</t>
  </si>
  <si>
    <t xml:space="preserve">Current share price (€)</t>
  </si>
  <si>
    <t xml:space="preserve">Target EV / EBITDA</t>
  </si>
  <si>
    <t xml:space="preserve">selected scenario</t>
  </si>
  <si>
    <t xml:space="preserve">Base</t>
  </si>
  <si>
    <t xml:space="preserve">Industrial Net Liquidity (€m) </t>
  </si>
  <si>
    <t xml:space="preserve">Financial Services P/B (x) </t>
  </si>
  <si>
    <t xml:space="preserve">Financial Services Book Equity (€m) </t>
  </si>
  <si>
    <t xml:space="preserve">Shares Outstanding (m) </t>
  </si>
  <si>
    <t xml:space="preserve">Historical Financials &amp; Operating Data</t>
  </si>
  <si>
    <t xml:space="preserve">2023A</t>
  </si>
  <si>
    <t xml:space="preserve">2024A</t>
  </si>
  <si>
    <t xml:space="preserve">Cars sold</t>
  </si>
  <si>
    <t xml:space="preserve">000 units</t>
  </si>
  <si>
    <t xml:space="preserve">Average selling price</t>
  </si>
  <si>
    <t xml:space="preserve">€000</t>
  </si>
  <si>
    <t xml:space="preserve">Mb cars revenue</t>
  </si>
  <si>
    <t xml:space="preserve">€m</t>
  </si>
  <si>
    <t xml:space="preserve">Financial services revenue</t>
  </si>
  <si>
    <t xml:space="preserve">Total revenue</t>
  </si>
  <si>
    <t xml:space="preserve">Gross profit</t>
  </si>
  <si>
    <t xml:space="preserve">R&amp;D</t>
  </si>
  <si>
    <t xml:space="preserve">SG&amp;A</t>
  </si>
  <si>
    <t xml:space="preserve">EBIT</t>
  </si>
  <si>
    <t xml:space="preserve">Net income</t>
  </si>
  <si>
    <t xml:space="preserve">D&amp;A</t>
  </si>
  <si>
    <t xml:space="preserve">Capex</t>
  </si>
  <si>
    <t xml:space="preserve">Net working capital</t>
  </si>
  <si>
    <t xml:space="preserve">Revenue Growth </t>
  </si>
  <si>
    <t xml:space="preserve">Gross Margin </t>
  </si>
  <si>
    <t xml:space="preserve">EBIT Margin </t>
  </si>
  <si>
    <t xml:space="preserve">Net Margin </t>
  </si>
  <si>
    <t xml:space="preserve">NWC % Revenue </t>
  </si>
  <si>
    <t xml:space="preserve">Note</t>
  </si>
  <si>
    <t xml:space="preserve">Replace these starter placeholders with figures from Mercedes-Benz annual reports / investor relations.</t>
  </si>
  <si>
    <t xml:space="preserve">Source</t>
  </si>
  <si>
    <t xml:space="preserve">https://group.mercedes-benz.com/investors/reports-news/annual-reports/</t>
  </si>
  <si>
    <t xml:space="preserve">Units</t>
  </si>
  <si>
    <t xml:space="preserve">All financial statement figures are intended to be €m unless stated otherwise.</t>
  </si>
  <si>
    <t xml:space="preserve">Volume growth</t>
  </si>
  <si>
    <t xml:space="preserve">ASP growth</t>
  </si>
  <si>
    <t xml:space="preserve">Automotive revenue</t>
  </si>
  <si>
    <t xml:space="preserve">Vans revenue</t>
  </si>
  <si>
    <t xml:space="preserve">Reconciliation</t>
  </si>
  <si>
    <t xml:space="preserve">Income Statement Forecast</t>
  </si>
  <si>
    <t xml:space="preserve">Revenue</t>
  </si>
  <si>
    <t xml:space="preserve">Other operating &amp; financial items </t>
  </si>
  <si>
    <t xml:space="preserve">EBIT margin</t>
  </si>
  <si>
    <t xml:space="preserve">Tax</t>
  </si>
  <si>
    <t xml:space="preserve">Net operating profit after tax</t>
  </si>
  <si>
    <t xml:space="preserve">Net margin proxy</t>
  </si>
  <si>
    <t xml:space="preserve">Free Cash Flow Forecast</t>
  </si>
  <si>
    <t xml:space="preserve">NOPAT</t>
  </si>
  <si>
    <t xml:space="preserve">Change in NWC</t>
  </si>
  <si>
    <t xml:space="preserve">Unlevered FCF</t>
  </si>
  <si>
    <t xml:space="preserve">FCF margin</t>
  </si>
  <si>
    <t xml:space="preserve">Industrial Business FCF </t>
  </si>
  <si>
    <t xml:space="preserve">Bear case FCF</t>
  </si>
  <si>
    <t xml:space="preserve">Base case FCF </t>
  </si>
  <si>
    <t xml:space="preserve">Bull case FCF</t>
  </si>
  <si>
    <t xml:space="preserve">FCF Growth </t>
  </si>
  <si>
    <t xml:space="preserve">Selected Industrial FCF </t>
  </si>
  <si>
    <t xml:space="preserve">Industrial FCF – Valuation Assumption </t>
  </si>
  <si>
    <t xml:space="preserve">Discount period</t>
  </si>
  <si>
    <t xml:space="preserve">years</t>
  </si>
  <si>
    <t xml:space="preserve">Discount factor</t>
  </si>
  <si>
    <t xml:space="preserve">x</t>
  </si>
  <si>
    <t xml:space="preserve">PV of FCF</t>
  </si>
  <si>
    <t xml:space="preserve">Valuation Bridge</t>
  </si>
  <si>
    <t xml:space="preserve">Terminal FCF (€m)</t>
  </si>
  <si>
    <t xml:space="preserve">Terminal value (€m)</t>
  </si>
  <si>
    <t xml:space="preserve">PV terminal value (€m)</t>
  </si>
  <si>
    <t xml:space="preserve">Financial Services Book Equity </t>
  </si>
  <si>
    <t xml:space="preserve">PV forecast FCF (€m)</t>
  </si>
  <si>
    <t xml:space="preserve">Financial Services P/B </t>
  </si>
  <si>
    <t xml:space="preserve">Enterprise value (€m)</t>
  </si>
  <si>
    <t xml:space="preserve">Financial Services Equity Value </t>
  </si>
  <si>
    <t xml:space="preserve">Industrial Business Enterprise Value</t>
  </si>
  <si>
    <t xml:space="preserve">+ Industrial Net Liquidity</t>
  </si>
  <si>
    <t xml:space="preserve">+ Financial Services Equity Value</t>
  </si>
  <si>
    <t xml:space="preserve">Mercedes-Benz Equity Value</t>
  </si>
  <si>
    <t xml:space="preserve">Riga</t>
  </si>
  <si>
    <t xml:space="preserve">Valore (€m)</t>
  </si>
  <si>
    <t xml:space="preserve">Enterprise Value – Industrial Business</t>
  </si>
  <si>
    <t xml:space="preserve">Industrial Net Liquidity</t>
  </si>
  <si>
    <t xml:space="preserve">Financial Services Equity Value</t>
  </si>
  <si>
    <t xml:space="preserve">Equity Value</t>
  </si>
  <si>
    <t xml:space="preserve">DCF Sensitivity Analysis </t>
  </si>
  <si>
    <t xml:space="preserve">Terminal Growth ↓ / WACC →</t>
  </si>
  <si>
    <t xml:space="preserve">Equity value (€m)</t>
  </si>
  <si>
    <t xml:space="preserve">Valuation</t>
  </si>
  <si>
    <t xml:space="preserve">€ / Share</t>
  </si>
  <si>
    <t xml:space="preserve">Current Price</t>
  </si>
  <si>
    <t xml:space="preserve">Implied Value per Share (€) </t>
  </si>
  <si>
    <t xml:space="preserve">Low</t>
  </si>
  <si>
    <t xml:space="preserve">Current Share Price (€)</t>
  </si>
  <si>
    <t xml:space="preserve">Upside / (Downside) (%) </t>
  </si>
  <si>
    <t xml:space="preserve">High</t>
  </si>
  <si>
    <t xml:space="preserve">Mercedes-Benz Financial Model – Valuation Dashboard</t>
  </si>
  <si>
    <t xml:space="preserve">Mercedes-Benz Model Dashboard</t>
  </si>
  <si>
    <t xml:space="preserve">KPI</t>
  </si>
  <si>
    <t xml:space="preserve">Value</t>
  </si>
  <si>
    <t xml:space="preserve">Valuation Range </t>
  </si>
  <si>
    <t xml:space="preserve">2029E Revenue (€m)</t>
  </si>
  <si>
    <t xml:space="preserve">Revenue (€m)</t>
  </si>
  <si>
    <t xml:space="preserve">2029E EBIT Margin</t>
  </si>
  <si>
    <t xml:space="preserve">EBIT (€m)</t>
  </si>
  <si>
    <t xml:space="preserve">2029E FCF (€m)</t>
  </si>
  <si>
    <t xml:space="preserve">FCF (€m)</t>
  </si>
  <si>
    <t xml:space="preserve">Implied Value / Share (€)</t>
  </si>
  <si>
    <t xml:space="preserve">Upside / (Downside)</t>
  </si>
  <si>
    <t xml:space="preserve">Mercedes-Benz Group – DCF Valuation Summary</t>
  </si>
  <si>
    <t xml:space="preserve">Base Case Valuation </t>
  </si>
  <si>
    <t xml:space="preserve">Mercedes-Benz Valuation Summary </t>
  </si>
  <si>
    <t xml:space="preserve">Selected Scenario</t>
  </si>
  <si>
    <t xml:space="preserve">Current Share Price (€) </t>
  </si>
  <si>
    <t xml:space="preserve">Implied Value per Share (€)</t>
  </si>
  <si>
    <t xml:space="preserve">Key Assumptions </t>
  </si>
  <si>
    <t xml:space="preserve">Terminal Growth Rate</t>
  </si>
  <si>
    <t xml:space="preserve">Industrial FCF 2029 (€m)</t>
  </si>
  <si>
    <t xml:space="preserve">Financial Services P/B</t>
  </si>
  <si>
    <t xml:space="preserve">Valuation Output</t>
  </si>
  <si>
    <t xml:space="preserve">Industrial Enterprise Value (€m)</t>
  </si>
  <si>
    <t xml:space="preserve">Industrial Net Liquidity (€m)</t>
  </si>
  <si>
    <t xml:space="preserve">Financial Services Equity Value (€m)</t>
  </si>
  <si>
    <t xml:space="preserve">Equity Value (€m)</t>
  </si>
  <si>
    <t xml:space="preserve">Upside / (Downside) </t>
  </si>
  <si>
    <t xml:space="preserve">Valuation Sensitivity </t>
  </si>
  <si>
    <t xml:space="preserve">Scenario </t>
  </si>
  <si>
    <t xml:space="preserve">WACC </t>
  </si>
  <si>
    <t xml:space="preserve">Terminal Growth </t>
  </si>
  <si>
    <t xml:space="preserve">High 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</si>
</sst>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;[RED]\(0.0%\);\-"/>
    <numFmt numFmtId="166" formatCode="0.00%"/>
    <numFmt numFmtId="167" formatCode="0.00"/>
    <numFmt numFmtId="168" formatCode="0.0\x;[RED]\(0.0&quot;x)&quot;;\-"/>
    <numFmt numFmtId="169" formatCode="#,##0;[RED]\(#,##0\);\-"/>
    <numFmt numFmtId="170" formatCode="0.000"/>
    <numFmt numFmtId="171" formatCode="0"/>
    <numFmt numFmtId="172" formatCode="#,##0.00"/>
  </numFmts>
  <fonts count="2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0000FF"/>
      <name val="Calibri"/>
      <family val="0"/>
      <charset val="1"/>
    </font>
    <font>
      <sz val="10"/>
      <color rgb="FF0000FF"/>
      <name val="Times New Roman"/>
      <family val="1"/>
      <charset val="1"/>
    </font>
    <font>
      <sz val="11"/>
      <color rgb="FF008000"/>
      <name val="Calibri"/>
      <family val="0"/>
      <charset val="1"/>
    </font>
    <font>
      <b val="true"/>
      <sz val="11"/>
      <color rgb="FF3465A4"/>
      <name val="Calibri"/>
      <family val="0"/>
      <charset val="1"/>
    </font>
    <font>
      <b val="true"/>
      <sz val="10"/>
      <name val="Arial"/>
      <family val="2"/>
      <charset val="1"/>
    </font>
    <font>
      <b val="true"/>
      <sz val="11"/>
      <color rgb="FF008000"/>
      <name val="Calibri"/>
      <family val="0"/>
      <charset val="1"/>
    </font>
    <font>
      <sz val="13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 val="true"/>
      <sz val="14"/>
      <name val="Arial"/>
      <family val="2"/>
      <charset val="1"/>
    </font>
    <font>
      <b val="true"/>
      <sz val="10.5"/>
      <name val="Arial"/>
      <family val="2"/>
      <charset val="1"/>
    </font>
    <font>
      <b val="true"/>
      <sz val="12"/>
      <name val="Arial"/>
      <family val="2"/>
      <charset val="1"/>
    </font>
    <font>
      <sz val="10"/>
      <color rgb="FF111111"/>
      <name val="Arial"/>
      <family val="2"/>
      <charset val="1"/>
    </font>
    <font>
      <b val="true"/>
      <sz val="12"/>
      <color rgb="FF1C1C1C"/>
      <name val="Arial"/>
      <family val="2"/>
      <charset val="1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B1F33"/>
        <bgColor rgb="FF1C1C1C"/>
      </patternFill>
    </fill>
    <fill>
      <patternFill patternType="solid">
        <fgColor rgb="FFD9E3F0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1C1C1C"/>
        <bgColor rgb="FF111111"/>
      </patternFill>
    </fill>
    <fill>
      <patternFill patternType="solid">
        <fgColor rgb="FF111111"/>
        <bgColor rgb="FF1C1C1C"/>
      </patternFill>
    </fill>
    <fill>
      <patternFill patternType="solid">
        <fgColor rgb="FF729FCF"/>
        <bgColor rgb="FF96969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3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3" borderId="0" xfId="2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0" fillId="4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4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0" fillId="4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10" fillId="4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10" fillId="4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0" fillId="4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0" fillId="4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1" fillId="4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" fillId="4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2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9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2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2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9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9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5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9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9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9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9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3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9" fontId="1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7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0" fillId="7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1" fillId="7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2" fillId="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1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2" fontId="0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2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729FCF"/>
      <rgbColor rgb="FF993366"/>
      <rgbColor rgb="FFFFF2CC"/>
      <rgbColor rgb="FFCCFFFF"/>
      <rgbColor rgb="FF660066"/>
      <rgbColor rgb="FFFF8080"/>
      <rgbColor rgb="FF0066CC"/>
      <rgbColor rgb="FFD9E3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3465A4"/>
      <rgbColor rgb="FF969696"/>
      <rgbColor rgb="FF004586"/>
      <rgbColor rgb="FF339966"/>
      <rgbColor rgb="FF0B1F33"/>
      <rgbColor rgb="FF111111"/>
      <rgbColor rgb="FF993300"/>
      <rgbColor rgb="FF993366"/>
      <rgbColor rgb="FF333399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Calibri"/>
              </a:rPr>
              <a:t>Revenue &amp; EBIT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956490371274766"/>
          <c:y val="0.117437158036635"/>
          <c:w val="0.608690826349964"/>
          <c:h val="0.866782967250813"/>
        </c:manualLayout>
      </c:layout>
      <c:lineChart>
        <c:grouping val="standard"/>
        <c:varyColors val="0"/>
        <c:ser>
          <c:idx val="0"/>
          <c:order val="0"/>
          <c:tx>
            <c:strRef>
              <c:f>Dashboard!$C$4</c:f>
              <c:strCache>
                <c:ptCount val="1"/>
                <c:pt idx="0">
                  <c:v>Revenue (€m)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Dashboard!$D$3:$H$3</c:f>
              <c:strCache>
                <c:ptCount val="5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</c:strCache>
            </c:strRef>
          </c:cat>
          <c:val>
            <c:numRef>
              <c:f>Dashboard!$D$4:$H$4</c:f>
              <c:numCache>
                <c:formatCode>#,##0;[RED]\(#,##0\);\-</c:formatCode>
                <c:ptCount val="5"/>
                <c:pt idx="0">
                  <c:v>132214</c:v>
                </c:pt>
                <c:pt idx="1">
                  <c:v>129053.203136</c:v>
                </c:pt>
                <c:pt idx="2">
                  <c:v>134551.373118989</c:v>
                </c:pt>
                <c:pt idx="3">
                  <c:v>141513.035906857</c:v>
                </c:pt>
                <c:pt idx="4">
                  <c:v>148701.257042811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484985"/>
        <c:axId val="96208398"/>
      </c:lineChart>
      <c:lineChart>
        <c:grouping val="standard"/>
        <c:varyColors val="0"/>
        <c:ser>
          <c:idx val="1"/>
          <c:order val="1"/>
          <c:tx>
            <c:strRef>
              <c:f>Dashboard!$C$5</c:f>
              <c:strCache>
                <c:ptCount val="1"/>
                <c:pt idx="0">
                  <c:v>EBIT (€m)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Dashboard!$D$3:$H$3</c:f>
              <c:strCache>
                <c:ptCount val="5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</c:strCache>
            </c:strRef>
          </c:cat>
          <c:val>
            <c:numRef>
              <c:f>Dashboard!$D$5:$H$5</c:f>
              <c:numCache>
                <c:formatCode>#,##0;[RED]\(#,##0\);\-</c:formatCode>
                <c:ptCount val="5"/>
                <c:pt idx="0">
                  <c:v>5820</c:v>
                </c:pt>
                <c:pt idx="1">
                  <c:v>6452.6601568</c:v>
                </c:pt>
                <c:pt idx="2">
                  <c:v>8207.63376025831</c:v>
                </c:pt>
                <c:pt idx="3">
                  <c:v>9481.37340575939</c:v>
                </c:pt>
                <c:pt idx="4">
                  <c:v>11152.5942782108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9742031"/>
        <c:axId val="98044141"/>
      </c:lineChart>
      <c:catAx>
        <c:axId val="148498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Calibri"/>
              </a:defRPr>
            </a:pPr>
          </a:p>
        </c:txPr>
        <c:crossAx val="96208398"/>
        <c:crosses val="autoZero"/>
        <c:auto val="1"/>
        <c:lblAlgn val="ctr"/>
        <c:lblOffset val="100"/>
        <c:noMultiLvlLbl val="0"/>
      </c:catAx>
      <c:valAx>
        <c:axId val="9620839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rPr>
                  <a:t>Revenue(€m)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[RED]\(#,##0\);\-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Calibri"/>
              </a:defRPr>
            </a:pPr>
          </a:p>
        </c:txPr>
        <c:crossAx val="1484985"/>
        <c:crosses val="autoZero"/>
        <c:crossBetween val="midCat"/>
      </c:valAx>
      <c:catAx>
        <c:axId val="89742031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Calibri"/>
              </a:defRPr>
            </a:pPr>
          </a:p>
        </c:txPr>
        <c:crossAx val="98044141"/>
        <c:auto val="1"/>
        <c:lblAlgn val="ctr"/>
        <c:lblOffset val="100"/>
        <c:noMultiLvlLbl val="0"/>
      </c:catAx>
      <c:valAx>
        <c:axId val="98044141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rPr>
                  <a:t>EBIT (€m)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[RED]\(#,##0\);\-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Calibri"/>
              </a:defRPr>
            </a:pPr>
          </a:p>
        </c:txPr>
        <c:crossAx val="89742031"/>
        <c:crosses val="max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77640268605361"/>
          <c:y val="0.454365236698121"/>
          <c:w val="0.210500027748488"/>
          <c:h val="0.11989532947426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Calibri"/>
              </a:rPr>
              <a:t>Free Cash Flow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594504455174"/>
          <c:y val="0"/>
          <c:w val="0.678430982129524"/>
          <c:h val="0.866666666666667"/>
        </c:manualLayout>
      </c:layout>
      <c:lineChart>
        <c:grouping val="standard"/>
        <c:varyColors val="0"/>
        <c:ser>
          <c:idx val="0"/>
          <c:order val="0"/>
          <c:tx>
            <c:strRef>
              <c:f>Dashboard!$C$6</c:f>
              <c:strCache>
                <c:ptCount val="1"/>
                <c:pt idx="0">
                  <c:v>FCF (€m)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Dashboard!$D$3:$H$3</c:f>
              <c:strCache>
                <c:ptCount val="5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</c:strCache>
            </c:strRef>
          </c:cat>
          <c:val>
            <c:numRef>
              <c:f>Dashboard!$D$6:$H$6</c:f>
              <c:numCache>
                <c:formatCode>#,##0;[RED]\(#,##0\);\-</c:formatCode>
                <c:ptCount val="5"/>
                <c:pt idx="0">
                  <c:v>1671.4</c:v>
                </c:pt>
                <c:pt idx="1">
                  <c:v>3102.349608</c:v>
                </c:pt>
                <c:pt idx="2">
                  <c:v>3497.64518242475</c:v>
                </c:pt>
                <c:pt idx="3">
                  <c:v>4685.04346065107</c:v>
                </c:pt>
                <c:pt idx="4">
                  <c:v>5649.26450221309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3716045"/>
        <c:axId val="18973904"/>
      </c:lineChart>
      <c:catAx>
        <c:axId val="4371604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Calibri"/>
              </a:defRPr>
            </a:pPr>
          </a:p>
        </c:txPr>
        <c:crossAx val="18973904"/>
        <c:crosses val="autoZero"/>
        <c:auto val="1"/>
        <c:lblAlgn val="ctr"/>
        <c:lblOffset val="100"/>
        <c:noMultiLvlLbl val="0"/>
      </c:catAx>
      <c:valAx>
        <c:axId val="1897390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rPr>
                  <a:t>FCF (€m)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[RED]\(#,##0\);\-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Calibri"/>
              </a:defRPr>
            </a:pPr>
          </a:p>
        </c:txPr>
        <c:crossAx val="4371604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Calibri"/>
              </a:rPr>
              <a:t>Valuation Range (€ / Share)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3491587824821"/>
          <c:y val="0.101427196921103"/>
          <c:w val="0.7631747934415"/>
          <c:h val="0.86706221937139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3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3"/>
              <c:numFmt formatCode="0.00" sourceLinked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" sourceLinked="1"/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Dashboard!$J$4:$J$7</c:f>
              <c:strCache>
                <c:ptCount val="4"/>
                <c:pt idx="0">
                  <c:v>Current Price</c:v>
                </c:pt>
                <c:pt idx="1">
                  <c:v>Low</c:v>
                </c:pt>
                <c:pt idx="2">
                  <c:v>Base</c:v>
                </c:pt>
                <c:pt idx="3">
                  <c:v>High</c:v>
                </c:pt>
              </c:strCache>
            </c:strRef>
          </c:cat>
          <c:val>
            <c:numRef>
              <c:f>Dashboard!$K$4:$K$7</c:f>
              <c:numCache>
                <c:formatCode>0.00</c:formatCode>
                <c:ptCount val="4"/>
                <c:pt idx="0">
                  <c:v>41.28</c:v>
                </c:pt>
                <c:pt idx="1">
                  <c:v>127.758974712597</c:v>
                </c:pt>
                <c:pt idx="2">
                  <c:v>146.377154882665</c:v>
                </c:pt>
                <c:pt idx="3">
                  <c:v>169.205658761949</c:v>
                </c:pt>
              </c:numCache>
            </c:numRef>
          </c:val>
        </c:ser>
        <c:gapWidth val="100"/>
        <c:overlap val="0"/>
        <c:axId val="53963656"/>
        <c:axId val="87307638"/>
      </c:barChart>
      <c:catAx>
        <c:axId val="539636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Calibri"/>
              </a:defRPr>
            </a:pPr>
          </a:p>
        </c:txPr>
        <c:crossAx val="87307638"/>
        <c:crosses val="autoZero"/>
        <c:auto val="1"/>
        <c:lblAlgn val="ctr"/>
        <c:lblOffset val="100"/>
        <c:noMultiLvlLbl val="0"/>
      </c:catAx>
      <c:valAx>
        <c:axId val="873076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Calibri"/>
              </a:defRPr>
            </a:pPr>
          </a:p>
        </c:txPr>
        <c:crossAx val="5396365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Calibri"/>
              </a:rPr>
              <a:t>Mercedes-Benz Valuation
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  <a:ea typeface="Calibri"/>
              </a:rPr>
              <a:t>DCF Sensitivity – Implied Value per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'DCF Valuation'!$G$41</c:f>
              <c:strCache>
                <c:ptCount val="1"/>
                <c:pt idx="0">
                  <c:v>€ / Share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'DCF Valuation'!$F$42:$F$45</c:f>
              <c:strCache>
                <c:ptCount val="4"/>
                <c:pt idx="0">
                  <c:v>Current Price</c:v>
                </c:pt>
                <c:pt idx="1">
                  <c:v>Low</c:v>
                </c:pt>
                <c:pt idx="2">
                  <c:v>Base</c:v>
                </c:pt>
                <c:pt idx="3">
                  <c:v>High</c:v>
                </c:pt>
              </c:strCache>
            </c:strRef>
          </c:cat>
          <c:val>
            <c:numRef>
              <c:f>'DCF Valuation'!$G$42:$G$45</c:f>
              <c:numCache>
                <c:formatCode>0.00</c:formatCode>
                <c:ptCount val="4"/>
                <c:pt idx="0">
                  <c:v>41.28</c:v>
                </c:pt>
                <c:pt idx="1">
                  <c:v>127.758974712597</c:v>
                </c:pt>
                <c:pt idx="2">
                  <c:v>146.377154882665</c:v>
                </c:pt>
                <c:pt idx="3">
                  <c:v>169.205658761949</c:v>
                </c:pt>
              </c:numCache>
            </c:numRef>
          </c:val>
        </c:ser>
        <c:gapWidth val="100"/>
        <c:overlap val="0"/>
        <c:axId val="376917"/>
        <c:axId val="13691588"/>
      </c:barChart>
      <c:catAx>
        <c:axId val="37691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Calibri"/>
              </a:defRPr>
            </a:pPr>
          </a:p>
        </c:txPr>
        <c:crossAx val="13691588"/>
        <c:crosses val="autoZero"/>
        <c:auto val="1"/>
        <c:lblAlgn val="ctr"/>
        <c:lblOffset val="100"/>
        <c:noMultiLvlLbl val="0"/>
      </c:catAx>
      <c:valAx>
        <c:axId val="136915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rPr>
                  <a:t>€ per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Calibri"/>
              </a:defRPr>
            </a:pPr>
          </a:p>
        </c:txPr>
        <c:crossAx val="37691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467640</xdr:colOff>
      <xdr:row>9</xdr:row>
      <xdr:rowOff>108360</xdr:rowOff>
    </xdr:from>
    <xdr:to>
      <xdr:col>14</xdr:col>
      <xdr:colOff>248040</xdr:colOff>
      <xdr:row>33</xdr:row>
      <xdr:rowOff>75960</xdr:rowOff>
    </xdr:to>
    <xdr:graphicFrame>
      <xdr:nvGraphicFramePr>
        <xdr:cNvPr id="1" name=""/>
        <xdr:cNvGraphicFramePr/>
      </xdr:nvGraphicFramePr>
      <xdr:xfrm>
        <a:off x="467640" y="1937160"/>
        <a:ext cx="12973320" cy="4539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9000</xdr:colOff>
      <xdr:row>37</xdr:row>
      <xdr:rowOff>19080</xdr:rowOff>
    </xdr:from>
    <xdr:to>
      <xdr:col>6</xdr:col>
      <xdr:colOff>121680</xdr:colOff>
      <xdr:row>61</xdr:row>
      <xdr:rowOff>31320</xdr:rowOff>
    </xdr:to>
    <xdr:graphicFrame>
      <xdr:nvGraphicFramePr>
        <xdr:cNvPr id="2" name=""/>
        <xdr:cNvGraphicFramePr/>
      </xdr:nvGraphicFramePr>
      <xdr:xfrm>
        <a:off x="9000" y="7182000"/>
        <a:ext cx="7231680" cy="458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158760</xdr:colOff>
      <xdr:row>37</xdr:row>
      <xdr:rowOff>12600</xdr:rowOff>
    </xdr:from>
    <xdr:to>
      <xdr:col>18</xdr:col>
      <xdr:colOff>111240</xdr:colOff>
      <xdr:row>60</xdr:row>
      <xdr:rowOff>120600</xdr:rowOff>
    </xdr:to>
    <xdr:graphicFrame>
      <xdr:nvGraphicFramePr>
        <xdr:cNvPr id="3" name=""/>
        <xdr:cNvGraphicFramePr/>
      </xdr:nvGraphicFramePr>
      <xdr:xfrm>
        <a:off x="7277760" y="7175520"/>
        <a:ext cx="8408880" cy="4489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2237760</xdr:colOff>
      <xdr:row>38</xdr:row>
      <xdr:rowOff>140040</xdr:rowOff>
    </xdr:from>
    <xdr:to>
      <xdr:col>4</xdr:col>
      <xdr:colOff>742680</xdr:colOff>
      <xdr:row>58</xdr:row>
      <xdr:rowOff>126000</xdr:rowOff>
    </xdr:to>
    <xdr:graphicFrame>
      <xdr:nvGraphicFramePr>
        <xdr:cNvPr id="4" name=""/>
        <xdr:cNvGraphicFramePr/>
      </xdr:nvGraphicFramePr>
      <xdr:xfrm rot="21599400">
        <a:off x="2237400" y="7419600"/>
        <a:ext cx="5844960" cy="323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58"/>
  </cols>
  <sheetData>
    <row r="1" customFormat="false" ht="24" hidden="false" customHeight="true" outlineLevel="0" collapsed="false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3"/>
    </row>
    <row r="3" customFormat="false" ht="36.5" hidden="false" customHeight="false" outlineLevel="0" collapsed="false">
      <c r="A3" s="3" t="s">
        <v>1</v>
      </c>
      <c r="B3" s="3" t="s">
        <v>2</v>
      </c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3</v>
      </c>
      <c r="B5" s="4" t="s">
        <v>4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3" t="s">
        <v>5</v>
      </c>
      <c r="B6" s="3" t="s">
        <v>6</v>
      </c>
      <c r="C6" s="3"/>
      <c r="D6" s="3"/>
      <c r="E6" s="3"/>
      <c r="F6" s="3"/>
      <c r="G6" s="3"/>
      <c r="H6" s="3"/>
    </row>
    <row r="7" customFormat="false" ht="15" hidden="false" customHeight="false" outlineLevel="0" collapsed="false">
      <c r="A7" s="3" t="s">
        <v>7</v>
      </c>
      <c r="B7" s="3" t="s">
        <v>8</v>
      </c>
      <c r="C7" s="3"/>
      <c r="D7" s="3"/>
      <c r="E7" s="3"/>
      <c r="F7" s="3"/>
      <c r="G7" s="3"/>
      <c r="H7" s="3"/>
    </row>
    <row r="8" customFormat="false" ht="15" hidden="false" customHeight="false" outlineLevel="0" collapsed="false">
      <c r="A8" s="3" t="s">
        <v>9</v>
      </c>
      <c r="B8" s="3" t="s">
        <v>10</v>
      </c>
      <c r="C8" s="3"/>
      <c r="D8" s="3"/>
      <c r="E8" s="3"/>
      <c r="F8" s="3"/>
      <c r="G8" s="3"/>
      <c r="H8" s="3"/>
    </row>
    <row r="9" customFormat="false" ht="15" hidden="false" customHeight="false" outlineLevel="0" collapsed="false">
      <c r="A9" s="3" t="s">
        <v>11</v>
      </c>
      <c r="B9" s="3" t="s">
        <v>12</v>
      </c>
      <c r="C9" s="3"/>
      <c r="D9" s="3"/>
      <c r="E9" s="3"/>
      <c r="F9" s="3"/>
      <c r="G9" s="3"/>
      <c r="H9" s="3"/>
    </row>
    <row r="10" customFormat="false" ht="15" hidden="false" customHeight="false" outlineLevel="0" collapsed="false">
      <c r="A10" s="3" t="s">
        <v>13</v>
      </c>
      <c r="B10" s="3" t="s">
        <v>14</v>
      </c>
      <c r="C10" s="3"/>
      <c r="D10" s="3"/>
      <c r="E10" s="3"/>
      <c r="F10" s="3"/>
      <c r="G10" s="3"/>
      <c r="H10" s="3"/>
    </row>
    <row r="11" customFormat="false" ht="15" hidden="false" customHeight="false" outlineLevel="0" collapsed="false">
      <c r="A11" s="3" t="s">
        <v>15</v>
      </c>
      <c r="B11" s="3" t="s">
        <v>16</v>
      </c>
      <c r="C11" s="3"/>
      <c r="D11" s="3"/>
      <c r="E11" s="3"/>
      <c r="F11" s="3"/>
      <c r="G11" s="3"/>
      <c r="H11" s="3"/>
    </row>
    <row r="12" customFormat="false" ht="15" hidden="false" customHeight="false" outlineLevel="0" collapsed="false">
      <c r="A12" s="3" t="s">
        <v>17</v>
      </c>
      <c r="B12" s="3" t="s">
        <v>18</v>
      </c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false" outlineLevel="0" collapsed="false">
      <c r="A14" s="5" t="s">
        <v>19</v>
      </c>
      <c r="B14" s="5"/>
      <c r="C14" s="5"/>
      <c r="D14" s="5"/>
      <c r="E14" s="5"/>
      <c r="F14" s="5"/>
      <c r="G14" s="5"/>
      <c r="H14" s="5"/>
    </row>
    <row r="15" customFormat="false" ht="25" hidden="false" customHeight="false" outlineLevel="0" collapsed="false">
      <c r="A15" s="3" t="s">
        <v>20</v>
      </c>
      <c r="B15" s="3" t="s">
        <v>21</v>
      </c>
      <c r="C15" s="3"/>
      <c r="D15" s="3"/>
      <c r="E15" s="3"/>
      <c r="F15" s="3"/>
      <c r="G15" s="3"/>
      <c r="H15" s="3"/>
    </row>
    <row r="16" customFormat="false" ht="15" hidden="false" customHeight="false" outlineLevel="0" collapsed="false">
      <c r="A16" s="3" t="s">
        <v>22</v>
      </c>
      <c r="B16" s="3" t="s">
        <v>23</v>
      </c>
      <c r="C16" s="3"/>
      <c r="D16" s="3"/>
      <c r="E16" s="3"/>
      <c r="F16" s="3"/>
      <c r="G16" s="3"/>
      <c r="H16" s="3"/>
    </row>
    <row r="17" customFormat="false" ht="15" hidden="false" customHeight="false" outlineLevel="0" collapsed="false">
      <c r="A17" s="3" t="s">
        <v>24</v>
      </c>
      <c r="B17" s="3" t="s">
        <v>25</v>
      </c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A18" s="3" t="s">
        <v>26</v>
      </c>
      <c r="B18" s="3" t="s">
        <v>27</v>
      </c>
      <c r="C18" s="3"/>
      <c r="D18" s="3"/>
      <c r="E18" s="3"/>
      <c r="F18" s="3"/>
      <c r="G18" s="3"/>
      <c r="H18" s="3"/>
    </row>
    <row r="19" customFormat="false" ht="15" hidden="false" customHeight="false" outlineLevel="0" collapsed="false">
      <c r="A19" s="3" t="s">
        <v>28</v>
      </c>
      <c r="B19" s="3" t="s">
        <v>29</v>
      </c>
      <c r="C19" s="3"/>
      <c r="D19" s="3"/>
      <c r="E19" s="3"/>
      <c r="F19" s="3"/>
      <c r="G19" s="3"/>
      <c r="H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B29" activeCellId="0" sqref="B29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7" min="3" style="1" width="13"/>
  </cols>
  <sheetData>
    <row r="1" customFormat="false" ht="24" hidden="false" customHeight="true" outlineLevel="0" collapsed="false">
      <c r="A1" s="2" t="s">
        <v>30</v>
      </c>
      <c r="B1" s="2" t="s">
        <v>30</v>
      </c>
      <c r="C1" s="2" t="s">
        <v>30</v>
      </c>
      <c r="D1" s="2" t="s">
        <v>30</v>
      </c>
      <c r="E1" s="2" t="s">
        <v>30</v>
      </c>
      <c r="F1" s="2" t="s">
        <v>30</v>
      </c>
      <c r="G1" s="2" t="s">
        <v>30</v>
      </c>
      <c r="H1" s="6"/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6"/>
    </row>
    <row r="3" customFormat="false" ht="15" hidden="false" customHeight="false" outlineLevel="0" collapsed="false">
      <c r="A3" s="7" t="s">
        <v>31</v>
      </c>
      <c r="B3" s="7" t="s">
        <v>32</v>
      </c>
      <c r="C3" s="7" t="s">
        <v>33</v>
      </c>
      <c r="D3" s="7" t="s">
        <v>34</v>
      </c>
      <c r="E3" s="7" t="s">
        <v>35</v>
      </c>
      <c r="F3" s="7" t="s">
        <v>36</v>
      </c>
      <c r="G3" s="7" t="s">
        <v>37</v>
      </c>
      <c r="H3" s="6"/>
    </row>
    <row r="4" customFormat="false" ht="15" hidden="false" customHeight="false" outlineLevel="0" collapsed="false">
      <c r="A4" s="8" t="s">
        <v>38</v>
      </c>
      <c r="B4" s="8" t="s">
        <v>39</v>
      </c>
      <c r="C4" s="3" t="s">
        <v>40</v>
      </c>
      <c r="D4" s="9" t="n">
        <v>-0.02</v>
      </c>
      <c r="E4" s="9" t="n">
        <v>0.03</v>
      </c>
      <c r="F4" s="9" t="n">
        <v>0.04</v>
      </c>
      <c r="G4" s="9" t="n">
        <v>0.04</v>
      </c>
      <c r="H4" s="6"/>
    </row>
    <row r="5" customFormat="false" ht="15" hidden="false" customHeight="false" outlineLevel="0" collapsed="false">
      <c r="A5" s="8" t="s">
        <v>41</v>
      </c>
      <c r="B5" s="8" t="s">
        <v>39</v>
      </c>
      <c r="D5" s="10" t="n">
        <v>-0.08</v>
      </c>
      <c r="E5" s="9" t="n">
        <v>0.03</v>
      </c>
      <c r="F5" s="9" t="n">
        <v>0.03</v>
      </c>
      <c r="G5" s="9" t="n">
        <v>0.02</v>
      </c>
      <c r="H5" s="6"/>
    </row>
    <row r="6" customFormat="false" ht="15" hidden="false" customHeight="false" outlineLevel="0" collapsed="false">
      <c r="A6" s="8" t="s">
        <v>42</v>
      </c>
      <c r="B6" s="8" t="s">
        <v>39</v>
      </c>
      <c r="C6" s="3" t="s">
        <v>40</v>
      </c>
      <c r="D6" s="9" t="n">
        <v>0</v>
      </c>
      <c r="E6" s="9" t="n">
        <v>0.02</v>
      </c>
      <c r="F6" s="9" t="n">
        <v>0.02</v>
      </c>
      <c r="G6" s="9" t="n">
        <v>0.02</v>
      </c>
      <c r="H6" s="6"/>
    </row>
    <row r="7" customFormat="false" ht="15" hidden="false" customHeight="false" outlineLevel="0" collapsed="false">
      <c r="A7" s="8" t="s">
        <v>43</v>
      </c>
      <c r="B7" s="8" t="s">
        <v>39</v>
      </c>
      <c r="C7" s="3" t="s">
        <v>40</v>
      </c>
      <c r="D7" s="9" t="n">
        <v>0</v>
      </c>
      <c r="E7" s="9" t="n">
        <v>0.02</v>
      </c>
      <c r="F7" s="9" t="n">
        <v>0.03</v>
      </c>
      <c r="G7" s="9" t="n">
        <v>0.03</v>
      </c>
      <c r="H7" s="6"/>
    </row>
    <row r="8" customFormat="false" ht="15" hidden="false" customHeight="false" outlineLevel="0" collapsed="false">
      <c r="A8" s="8" t="s">
        <v>44</v>
      </c>
      <c r="B8" s="8" t="s">
        <v>39</v>
      </c>
      <c r="C8" s="3" t="s">
        <v>40</v>
      </c>
      <c r="D8" s="9" t="n">
        <v>0.175</v>
      </c>
      <c r="E8" s="9" t="n">
        <v>0.185</v>
      </c>
      <c r="F8" s="9" t="n">
        <v>0.19</v>
      </c>
      <c r="G8" s="9" t="n">
        <v>0.195</v>
      </c>
      <c r="H8" s="6"/>
    </row>
    <row r="9" customFormat="false" ht="15" hidden="false" customHeight="false" outlineLevel="0" collapsed="false">
      <c r="A9" s="8" t="s">
        <v>45</v>
      </c>
      <c r="B9" s="8" t="s">
        <v>39</v>
      </c>
      <c r="C9" s="3" t="s">
        <v>40</v>
      </c>
      <c r="D9" s="9" t="n">
        <v>0.043</v>
      </c>
      <c r="E9" s="9" t="n">
        <v>0.042</v>
      </c>
      <c r="F9" s="9" t="n">
        <v>0.041</v>
      </c>
      <c r="G9" s="9" t="n">
        <v>0.04</v>
      </c>
      <c r="H9" s="6"/>
    </row>
    <row r="10" customFormat="false" ht="15" hidden="false" customHeight="false" outlineLevel="0" collapsed="false">
      <c r="A10" s="8" t="s">
        <v>46</v>
      </c>
      <c r="B10" s="8" t="s">
        <v>39</v>
      </c>
      <c r="C10" s="3" t="s">
        <v>40</v>
      </c>
      <c r="D10" s="9" t="n">
        <v>0.092</v>
      </c>
      <c r="E10" s="9" t="n">
        <v>0.09</v>
      </c>
      <c r="F10" s="9" t="n">
        <v>0.088</v>
      </c>
      <c r="G10" s="9" t="n">
        <v>0.085</v>
      </c>
      <c r="H10" s="6"/>
    </row>
    <row r="11" customFormat="false" ht="15" hidden="false" customHeight="false" outlineLevel="0" collapsed="false">
      <c r="A11" s="11" t="s">
        <v>47</v>
      </c>
      <c r="B11" s="8" t="s">
        <v>39</v>
      </c>
      <c r="D11" s="10" t="n">
        <v>0.01</v>
      </c>
      <c r="E11" s="9" t="n">
        <v>0.008</v>
      </c>
      <c r="F11" s="9" t="n">
        <v>0.006</v>
      </c>
      <c r="G11" s="9" t="n">
        <v>0.005</v>
      </c>
      <c r="H11" s="6"/>
    </row>
    <row r="12" customFormat="false" ht="15" hidden="false" customHeight="false" outlineLevel="0" collapsed="false">
      <c r="A12" s="8" t="s">
        <v>48</v>
      </c>
      <c r="B12" s="8" t="s">
        <v>39</v>
      </c>
      <c r="C12" s="3" t="s">
        <v>40</v>
      </c>
      <c r="D12" s="9" t="n">
        <v>0.28</v>
      </c>
      <c r="E12" s="9" t="n">
        <v>0.28</v>
      </c>
      <c r="F12" s="9" t="n">
        <v>0.28</v>
      </c>
      <c r="G12" s="9" t="n">
        <v>0.28</v>
      </c>
      <c r="H12" s="6"/>
    </row>
    <row r="13" customFormat="false" ht="15" hidden="false" customHeight="false" outlineLevel="0" collapsed="false">
      <c r="A13" s="8" t="s">
        <v>49</v>
      </c>
      <c r="B13" s="8" t="s">
        <v>39</v>
      </c>
      <c r="C13" s="3" t="s">
        <v>40</v>
      </c>
      <c r="D13" s="9" t="n">
        <v>0.054</v>
      </c>
      <c r="E13" s="9" t="n">
        <v>0.053</v>
      </c>
      <c r="F13" s="9" t="n">
        <v>0.052</v>
      </c>
      <c r="G13" s="9" t="n">
        <v>0.051</v>
      </c>
      <c r="H13" s="6"/>
    </row>
    <row r="14" customFormat="false" ht="15" hidden="false" customHeight="false" outlineLevel="0" collapsed="false">
      <c r="A14" s="8" t="s">
        <v>50</v>
      </c>
      <c r="B14" s="8" t="s">
        <v>39</v>
      </c>
      <c r="C14" s="3" t="s">
        <v>40</v>
      </c>
      <c r="D14" s="9" t="n">
        <v>0.07</v>
      </c>
      <c r="E14" s="9" t="n">
        <v>0.065</v>
      </c>
      <c r="F14" s="9" t="n">
        <v>0.06</v>
      </c>
      <c r="G14" s="9" t="n">
        <v>0.06</v>
      </c>
      <c r="H14" s="6"/>
    </row>
    <row r="15" customFormat="false" ht="15" hidden="false" customHeight="false" outlineLevel="0" collapsed="false">
      <c r="A15" s="8" t="s">
        <v>51</v>
      </c>
      <c r="B15" s="8" t="s">
        <v>39</v>
      </c>
      <c r="C15" s="3" t="s">
        <v>40</v>
      </c>
      <c r="D15" s="9" t="n">
        <v>0.145</v>
      </c>
      <c r="E15" s="9" t="n">
        <v>0.145</v>
      </c>
      <c r="F15" s="9" t="n">
        <v>0.145</v>
      </c>
      <c r="G15" s="9" t="n">
        <v>0.145</v>
      </c>
      <c r="H15" s="6"/>
    </row>
    <row r="16" customFormat="false" ht="15" hidden="false" customHeight="false" outlineLevel="0" collapsed="false">
      <c r="A16" s="3" t="s">
        <v>52</v>
      </c>
      <c r="B16" s="3" t="s">
        <v>39</v>
      </c>
      <c r="C16" s="3"/>
      <c r="D16" s="10" t="n">
        <v>-0.0432</v>
      </c>
      <c r="E16" s="10" t="n">
        <v>-0.0432</v>
      </c>
      <c r="F16" s="10" t="n">
        <v>-0.0432</v>
      </c>
      <c r="G16" s="10" t="n">
        <v>-0.0432</v>
      </c>
      <c r="H16" s="6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6"/>
    </row>
    <row r="18" customFormat="false" ht="15" hidden="false" customHeight="true" outlineLevel="0" collapsed="false">
      <c r="A18" s="12" t="s">
        <v>53</v>
      </c>
      <c r="B18" s="12" t="s">
        <v>53</v>
      </c>
      <c r="C18" s="12" t="s">
        <v>53</v>
      </c>
      <c r="D18" s="12" t="s">
        <v>53</v>
      </c>
      <c r="E18" s="12" t="s">
        <v>53</v>
      </c>
      <c r="F18" s="12" t="s">
        <v>53</v>
      </c>
      <c r="G18" s="12" t="s">
        <v>53</v>
      </c>
      <c r="H18" s="6"/>
    </row>
    <row r="19" customFormat="false" ht="15" hidden="false" customHeight="false" outlineLevel="0" collapsed="false">
      <c r="A19" s="3" t="s">
        <v>54</v>
      </c>
      <c r="B19" s="9" t="n">
        <v>0.095</v>
      </c>
      <c r="C19" s="3"/>
      <c r="D19" s="3"/>
      <c r="E19" s="3"/>
      <c r="F19" s="3"/>
      <c r="G19" s="3"/>
      <c r="H19" s="6"/>
    </row>
    <row r="20" customFormat="false" ht="15" hidden="false" customHeight="false" outlineLevel="0" collapsed="false">
      <c r="A20" s="11" t="s">
        <v>55</v>
      </c>
      <c r="B20" s="13" t="n">
        <v>0.105</v>
      </c>
      <c r="C20" s="3"/>
      <c r="D20" s="3"/>
      <c r="E20" s="3"/>
      <c r="F20" s="3"/>
      <c r="G20" s="3"/>
      <c r="H20" s="6"/>
    </row>
    <row r="21" customFormat="false" ht="15" hidden="false" customHeight="false" outlineLevel="0" collapsed="false">
      <c r="A21" s="11" t="s">
        <v>56</v>
      </c>
      <c r="B21" s="13" t="n">
        <v>0.01</v>
      </c>
      <c r="C21" s="3"/>
      <c r="D21" s="3"/>
      <c r="E21" s="3"/>
      <c r="F21" s="3"/>
      <c r="G21" s="3"/>
      <c r="H21" s="6"/>
    </row>
    <row r="22" customFormat="false" ht="15" hidden="false" customHeight="false" outlineLevel="0" collapsed="false">
      <c r="A22" s="11" t="s">
        <v>57</v>
      </c>
      <c r="B22" s="13" t="n">
        <v>0.085</v>
      </c>
      <c r="C22" s="3"/>
      <c r="D22" s="3"/>
      <c r="E22" s="3"/>
      <c r="F22" s="3"/>
      <c r="G22" s="3"/>
      <c r="H22" s="6"/>
    </row>
    <row r="23" customFormat="false" ht="15" hidden="false" customHeight="false" outlineLevel="0" collapsed="false">
      <c r="A23" s="11" t="s">
        <v>58</v>
      </c>
      <c r="B23" s="13" t="n">
        <v>0.025</v>
      </c>
      <c r="C23" s="3"/>
      <c r="D23" s="3"/>
      <c r="E23" s="3"/>
      <c r="F23" s="3"/>
      <c r="G23" s="3"/>
      <c r="H23" s="6"/>
    </row>
    <row r="24" customFormat="false" ht="15" hidden="false" customHeight="false" outlineLevel="0" collapsed="false">
      <c r="A24" s="3"/>
      <c r="B24" s="9"/>
      <c r="C24" s="3"/>
      <c r="D24" s="3"/>
      <c r="E24" s="3"/>
      <c r="F24" s="3"/>
      <c r="G24" s="3"/>
      <c r="H24" s="6"/>
    </row>
    <row r="25" customFormat="false" ht="15" hidden="false" customHeight="false" outlineLevel="0" collapsed="false">
      <c r="A25" s="3"/>
      <c r="B25" s="9"/>
      <c r="C25" s="3"/>
      <c r="D25" s="3"/>
      <c r="E25" s="3"/>
      <c r="F25" s="3"/>
      <c r="G25" s="3"/>
      <c r="H25" s="6"/>
    </row>
    <row r="26" customFormat="false" ht="15" hidden="false" customHeight="false" outlineLevel="0" collapsed="false">
      <c r="A26" s="3" t="s">
        <v>59</v>
      </c>
      <c r="B26" s="9" t="n">
        <v>0.02</v>
      </c>
      <c r="C26" s="3"/>
      <c r="D26" s="3"/>
      <c r="E26" s="3"/>
      <c r="F26" s="3"/>
      <c r="G26" s="3"/>
      <c r="H26" s="6"/>
    </row>
    <row r="27" customFormat="false" ht="15" hidden="false" customHeight="false" outlineLevel="0" collapsed="false">
      <c r="A27" s="3" t="s">
        <v>60</v>
      </c>
      <c r="B27" s="14" t="n">
        <v>41.28</v>
      </c>
      <c r="C27" s="3"/>
      <c r="D27" s="3"/>
      <c r="E27" s="3"/>
      <c r="F27" s="3"/>
      <c r="G27" s="3"/>
      <c r="H27" s="6"/>
    </row>
    <row r="28" customFormat="false" ht="15" hidden="false" customHeight="false" outlineLevel="0" collapsed="false">
      <c r="A28" s="3" t="s">
        <v>61</v>
      </c>
      <c r="B28" s="15" t="n">
        <v>4.5</v>
      </c>
      <c r="C28" s="3"/>
      <c r="D28" s="3"/>
      <c r="E28" s="3"/>
      <c r="F28" s="3"/>
      <c r="G28" s="3"/>
      <c r="H28" s="6"/>
    </row>
    <row r="29" customFormat="false" ht="15" hidden="false" customHeight="false" outlineLevel="0" collapsed="false">
      <c r="A29" s="3" t="s">
        <v>62</v>
      </c>
      <c r="B29" s="3" t="s">
        <v>63</v>
      </c>
      <c r="C29" s="3"/>
      <c r="D29" s="3"/>
      <c r="E29" s="3"/>
      <c r="F29" s="3"/>
      <c r="G29" s="3"/>
      <c r="H29" s="6"/>
    </row>
    <row r="30" customFormat="false" ht="15" hidden="false" customHeight="false" outlineLevel="0" collapsed="false">
      <c r="A30" s="11" t="s">
        <v>64</v>
      </c>
      <c r="B30" s="11" t="n">
        <v>32162</v>
      </c>
      <c r="C30" s="3"/>
      <c r="D30" s="3"/>
      <c r="E30" s="3"/>
      <c r="F30" s="3"/>
      <c r="G30" s="3"/>
      <c r="H30" s="6"/>
    </row>
    <row r="31" customFormat="false" ht="15" hidden="false" customHeight="false" outlineLevel="0" collapsed="false">
      <c r="A31" s="11" t="s">
        <v>65</v>
      </c>
      <c r="B31" s="6" t="n">
        <v>1.47</v>
      </c>
      <c r="C31" s="6"/>
      <c r="D31" s="6"/>
      <c r="E31" s="6"/>
      <c r="F31" s="6"/>
      <c r="G31" s="6"/>
      <c r="H31" s="6"/>
    </row>
    <row r="32" customFormat="false" ht="15" hidden="false" customHeight="false" outlineLevel="0" collapsed="false">
      <c r="A32" s="11" t="s">
        <v>66</v>
      </c>
      <c r="B32" s="6" t="n">
        <v>12053</v>
      </c>
      <c r="C32" s="6"/>
      <c r="D32" s="6"/>
      <c r="E32" s="6"/>
      <c r="F32" s="6"/>
      <c r="G32" s="6"/>
      <c r="H32" s="6"/>
    </row>
    <row r="33" customFormat="false" ht="15" hidden="false" customHeight="false" outlineLevel="0" collapsed="false">
      <c r="A33" s="11" t="s">
        <v>67</v>
      </c>
      <c r="B33" s="6" t="n">
        <v>962.904</v>
      </c>
      <c r="C33" s="6"/>
      <c r="D33" s="6"/>
      <c r="E33" s="6"/>
      <c r="F33" s="6"/>
      <c r="G33" s="6"/>
      <c r="H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  <c r="H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  <c r="H53" s="6"/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6"/>
      <c r="H54" s="6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6"/>
      <c r="H55" s="6"/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6"/>
      <c r="H56" s="6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1:G1"/>
    <mergeCell ref="A18: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N1" colorId="64" zoomScale="100" zoomScaleNormal="100" zoomScalePageLayoutView="100" workbookViewId="0">
      <selection pane="topLeft" activeCell="E9" activeCellId="0" sqref="E9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5" min="3" style="1" width="14"/>
    <col collapsed="false" customWidth="true" hidden="false" outlineLevel="0" max="7" min="7" style="1" width="11.53"/>
  </cols>
  <sheetData>
    <row r="1" customFormat="false" ht="24" hidden="false" customHeight="true" outlineLevel="0" collapsed="false">
      <c r="A1" s="16" t="s">
        <v>68</v>
      </c>
      <c r="B1" s="16" t="s">
        <v>68</v>
      </c>
      <c r="C1" s="16" t="s">
        <v>68</v>
      </c>
      <c r="D1" s="16" t="s">
        <v>68</v>
      </c>
      <c r="E1" s="16" t="s">
        <v>68</v>
      </c>
      <c r="F1" s="6"/>
      <c r="G1" s="6"/>
      <c r="H1" s="6"/>
    </row>
    <row r="2" customFormat="false" ht="15" hidden="false" customHeight="false" outlineLevel="0" collapsed="false">
      <c r="A2" s="6"/>
      <c r="B2" s="6"/>
      <c r="C2" s="6"/>
      <c r="D2" s="6"/>
      <c r="E2" s="6"/>
      <c r="F2" s="6"/>
      <c r="G2" s="6"/>
      <c r="H2" s="6"/>
    </row>
    <row r="3" customFormat="false" ht="15" hidden="false" customHeight="false" outlineLevel="0" collapsed="false">
      <c r="A3" s="17" t="s">
        <v>31</v>
      </c>
      <c r="B3" s="17" t="s">
        <v>32</v>
      </c>
      <c r="C3" s="17" t="s">
        <v>69</v>
      </c>
      <c r="D3" s="17" t="s">
        <v>70</v>
      </c>
      <c r="E3" s="17" t="s">
        <v>33</v>
      </c>
      <c r="F3" s="6"/>
      <c r="G3" s="6"/>
      <c r="H3" s="6"/>
    </row>
    <row r="4" customFormat="false" ht="15" hidden="false" customHeight="false" outlineLevel="0" collapsed="false">
      <c r="A4" s="6" t="s">
        <v>71</v>
      </c>
      <c r="B4" s="6" t="s">
        <v>72</v>
      </c>
      <c r="C4" s="11" t="n">
        <v>2044.051</v>
      </c>
      <c r="D4" s="11" t="n">
        <v>1983.403</v>
      </c>
      <c r="E4" s="11" t="n">
        <v>1801.291</v>
      </c>
      <c r="F4" s="6"/>
      <c r="G4" s="6"/>
      <c r="H4" s="6"/>
    </row>
    <row r="5" customFormat="false" ht="15" hidden="false" customHeight="false" outlineLevel="0" collapsed="false">
      <c r="A5" s="6" t="s">
        <v>73</v>
      </c>
      <c r="B5" s="6" t="s">
        <v>74</v>
      </c>
      <c r="C5" s="18" t="n">
        <f aca="false">C6/C4</f>
        <v>55.1630071852415</v>
      </c>
      <c r="D5" s="18" t="n">
        <f aca="false">D6/D4</f>
        <v>54.3338897843756</v>
      </c>
      <c r="E5" s="18" t="n">
        <f aca="false">E6/E4</f>
        <v>53.5210579523242</v>
      </c>
      <c r="F5" s="19"/>
      <c r="G5" s="6"/>
      <c r="H5" s="6"/>
    </row>
    <row r="6" customFormat="false" ht="15" hidden="false" customHeight="false" outlineLevel="0" collapsed="false">
      <c r="A6" s="6" t="s">
        <v>75</v>
      </c>
      <c r="B6" s="6" t="s">
        <v>76</v>
      </c>
      <c r="C6" s="11" t="n">
        <v>112756</v>
      </c>
      <c r="D6" s="11" t="n">
        <v>107766</v>
      </c>
      <c r="E6" s="11" t="n">
        <v>96407</v>
      </c>
      <c r="F6" s="6"/>
      <c r="G6" s="6" t="n">
        <f aca="false">E4*E5</f>
        <v>96407</v>
      </c>
      <c r="H6" s="6"/>
    </row>
    <row r="7" customFormat="false" ht="15" hidden="false" customHeight="false" outlineLevel="0" collapsed="false">
      <c r="A7" s="6" t="s">
        <v>77</v>
      </c>
      <c r="B7" s="6" t="s">
        <v>76</v>
      </c>
      <c r="C7" s="11" t="n">
        <v>25571</v>
      </c>
      <c r="D7" s="11" t="n">
        <v>25083</v>
      </c>
      <c r="E7" s="11" t="n">
        <v>24625</v>
      </c>
      <c r="F7" s="6"/>
      <c r="G7" s="6"/>
      <c r="H7" s="6"/>
    </row>
    <row r="8" customFormat="false" ht="15" hidden="false" customHeight="false" outlineLevel="0" collapsed="false">
      <c r="A8" s="6" t="s">
        <v>78</v>
      </c>
      <c r="B8" s="6" t="s">
        <v>76</v>
      </c>
      <c r="C8" s="20" t="n">
        <v>152393</v>
      </c>
      <c r="D8" s="20" t="n">
        <v>145594</v>
      </c>
      <c r="E8" s="20" t="n">
        <v>132214</v>
      </c>
      <c r="F8" s="6"/>
      <c r="G8" s="6"/>
      <c r="H8" s="6"/>
    </row>
    <row r="9" customFormat="false" ht="15" hidden="false" customHeight="false" outlineLevel="0" collapsed="false">
      <c r="A9" s="6" t="s">
        <v>79</v>
      </c>
      <c r="B9" s="6" t="s">
        <v>76</v>
      </c>
      <c r="C9" s="11" t="n">
        <v>34999</v>
      </c>
      <c r="D9" s="11" t="n">
        <v>28576</v>
      </c>
      <c r="E9" s="11" t="n">
        <v>22333</v>
      </c>
      <c r="F9" s="6"/>
      <c r="G9" s="6"/>
      <c r="H9" s="6"/>
    </row>
    <row r="10" customFormat="false" ht="15" hidden="false" customHeight="false" outlineLevel="0" collapsed="false">
      <c r="A10" s="6" t="s">
        <v>80</v>
      </c>
      <c r="B10" s="6" t="s">
        <v>76</v>
      </c>
      <c r="C10" s="21" t="n">
        <v>6230</v>
      </c>
      <c r="D10" s="11" t="n">
        <v>5580</v>
      </c>
      <c r="E10" s="11" t="n">
        <v>6055</v>
      </c>
      <c r="F10" s="6"/>
      <c r="G10" s="6"/>
      <c r="H10" s="6"/>
    </row>
    <row r="11" customFormat="false" ht="15" hidden="false" customHeight="false" outlineLevel="0" collapsed="false">
      <c r="A11" s="6" t="s">
        <v>81</v>
      </c>
      <c r="B11" s="6" t="s">
        <v>76</v>
      </c>
      <c r="C11" s="11" t="n">
        <v>12988</v>
      </c>
      <c r="D11" s="11" t="n">
        <v>12522</v>
      </c>
      <c r="E11" s="11" t="n">
        <v>12195</v>
      </c>
      <c r="F11" s="6"/>
      <c r="G11" s="6"/>
      <c r="H11" s="6"/>
    </row>
    <row r="12" customFormat="false" ht="15" hidden="false" customHeight="false" outlineLevel="0" collapsed="false">
      <c r="A12" s="6" t="s">
        <v>82</v>
      </c>
      <c r="B12" s="6" t="s">
        <v>76</v>
      </c>
      <c r="C12" s="11" t="n">
        <v>19660</v>
      </c>
      <c r="D12" s="11" t="n">
        <v>13600</v>
      </c>
      <c r="E12" s="11" t="n">
        <v>5820</v>
      </c>
      <c r="F12" s="6"/>
      <c r="G12" s="6"/>
      <c r="H12" s="6"/>
    </row>
    <row r="13" customFormat="false" ht="15" hidden="false" customHeight="false" outlineLevel="0" collapsed="false">
      <c r="A13" s="6" t="s">
        <v>83</v>
      </c>
      <c r="B13" s="6" t="s">
        <v>76</v>
      </c>
      <c r="C13" s="11" t="n">
        <v>14531</v>
      </c>
      <c r="D13" s="11" t="n">
        <v>10409</v>
      </c>
      <c r="E13" s="11" t="n">
        <v>5331</v>
      </c>
      <c r="F13" s="6"/>
      <c r="G13" s="6"/>
      <c r="H13" s="6"/>
    </row>
    <row r="14" customFormat="false" ht="15" hidden="false" customHeight="false" outlineLevel="0" collapsed="false">
      <c r="A14" s="6" t="s">
        <v>84</v>
      </c>
      <c r="B14" s="6" t="s">
        <v>76</v>
      </c>
      <c r="C14" s="11" t="n">
        <v>6663</v>
      </c>
      <c r="D14" s="11" t="n">
        <v>6772</v>
      </c>
      <c r="E14" s="20" t="n">
        <v>7223</v>
      </c>
      <c r="F14" s="6"/>
      <c r="G14" s="6"/>
      <c r="H14" s="6"/>
    </row>
    <row r="15" customFormat="false" ht="15" hidden="false" customHeight="false" outlineLevel="0" collapsed="false">
      <c r="A15" s="6" t="s">
        <v>85</v>
      </c>
      <c r="B15" s="6" t="s">
        <v>76</v>
      </c>
      <c r="C15" s="11" t="n">
        <v>8213</v>
      </c>
      <c r="D15" s="20" t="n">
        <v>8665</v>
      </c>
      <c r="E15" s="11" t="n">
        <v>9742</v>
      </c>
      <c r="F15" s="6"/>
      <c r="G15" s="6"/>
      <c r="H15" s="6"/>
    </row>
    <row r="16" customFormat="false" ht="15" hidden="false" customHeight="false" outlineLevel="0" collapsed="false">
      <c r="A16" s="6" t="s">
        <v>86</v>
      </c>
      <c r="B16" s="6" t="s">
        <v>76</v>
      </c>
      <c r="C16" s="21" t="n">
        <f aca="false">26126 + 6585 - 11625</f>
        <v>21086</v>
      </c>
      <c r="D16" s="21" t="n">
        <f aca="false">25786 + 6418 -10104</f>
        <v>22100</v>
      </c>
      <c r="E16" s="20" t="n">
        <f aca="false">23793+5354-9913</f>
        <v>19234</v>
      </c>
      <c r="F16" s="6"/>
      <c r="G16" s="6"/>
      <c r="H16" s="6"/>
    </row>
    <row r="17" customFormat="false" ht="15" hidden="false" customHeight="false" outlineLevel="0" collapsed="false">
      <c r="A17" s="11" t="s">
        <v>87</v>
      </c>
      <c r="B17" s="6" t="s">
        <v>39</v>
      </c>
      <c r="C17" s="22"/>
      <c r="D17" s="22" t="n">
        <f aca="false">D8/C8-1</f>
        <v>-0.0446149101336676</v>
      </c>
      <c r="E17" s="22" t="n">
        <f aca="false">E8/D8-1</f>
        <v>-0.0918993914584392</v>
      </c>
      <c r="F17" s="6"/>
      <c r="G17" s="6"/>
      <c r="H17" s="6"/>
    </row>
    <row r="18" customFormat="false" ht="15" hidden="false" customHeight="false" outlineLevel="0" collapsed="false">
      <c r="A18" s="11" t="s">
        <v>88</v>
      </c>
      <c r="B18" s="6" t="s">
        <v>39</v>
      </c>
      <c r="C18" s="22" t="n">
        <f aca="false">C9/C8</f>
        <v>0.229662779786473</v>
      </c>
      <c r="D18" s="22" t="n">
        <f aca="false">D9/D8</f>
        <v>0.196271824388368</v>
      </c>
      <c r="E18" s="22" t="n">
        <f aca="false">E9/E8</f>
        <v>0.168915546008743</v>
      </c>
      <c r="F18" s="6"/>
      <c r="G18" s="6"/>
      <c r="H18" s="6"/>
    </row>
    <row r="19" customFormat="false" ht="15" hidden="false" customHeight="false" outlineLevel="0" collapsed="false">
      <c r="A19" s="11" t="s">
        <v>89</v>
      </c>
      <c r="B19" s="6" t="s">
        <v>39</v>
      </c>
      <c r="C19" s="22" t="n">
        <f aca="false">C12/C8</f>
        <v>0.129008550261495</v>
      </c>
      <c r="D19" s="22" t="n">
        <f aca="false">D12/D8</f>
        <v>0.0934104427380249</v>
      </c>
      <c r="E19" s="22" t="n">
        <f aca="false">E12/E8</f>
        <v>0.0440195440724885</v>
      </c>
      <c r="F19" s="6"/>
      <c r="G19" s="6"/>
      <c r="H19" s="6"/>
    </row>
    <row r="20" customFormat="false" ht="15" hidden="false" customHeight="false" outlineLevel="0" collapsed="false">
      <c r="A20" s="11" t="s">
        <v>90</v>
      </c>
      <c r="B20" s="6" t="s">
        <v>39</v>
      </c>
      <c r="C20" s="22" t="n">
        <f aca="false">C13/C8</f>
        <v>0.0953521487207418</v>
      </c>
      <c r="D20" s="22" t="n">
        <f aca="false">D13/D8</f>
        <v>0.0714933307691251</v>
      </c>
      <c r="E20" s="22" t="n">
        <f aca="false">E13/E8</f>
        <v>0.0403209947509341</v>
      </c>
      <c r="F20" s="6"/>
      <c r="G20" s="6"/>
      <c r="H20" s="6"/>
    </row>
    <row r="21" customFormat="false" ht="15" hidden="false" customHeight="false" outlineLevel="0" collapsed="false">
      <c r="A21" s="11" t="s">
        <v>91</v>
      </c>
      <c r="B21" s="6" t="s">
        <v>39</v>
      </c>
      <c r="C21" s="22" t="n">
        <f aca="false">C16/C8</f>
        <v>0.138365935443229</v>
      </c>
      <c r="D21" s="22" t="n">
        <f aca="false">D16/D8</f>
        <v>0.151791969449291</v>
      </c>
      <c r="E21" s="22" t="n">
        <f aca="false">E16/E8</f>
        <v>0.145476273314475</v>
      </c>
      <c r="F21" s="6"/>
      <c r="G21" s="6"/>
      <c r="H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</row>
    <row r="23" customFormat="false" ht="71" hidden="false" customHeight="false" outlineLevel="0" collapsed="false">
      <c r="A23" s="3" t="s">
        <v>92</v>
      </c>
      <c r="B23" s="3" t="s">
        <v>93</v>
      </c>
      <c r="C23" s="3"/>
      <c r="D23" s="3"/>
      <c r="E23" s="3"/>
      <c r="F23" s="6"/>
      <c r="G23" s="6"/>
      <c r="H23" s="6"/>
    </row>
    <row r="24" customFormat="false" ht="59.5" hidden="false" customHeight="false" outlineLevel="0" collapsed="false">
      <c r="A24" s="3" t="s">
        <v>94</v>
      </c>
      <c r="B24" s="3" t="s">
        <v>95</v>
      </c>
      <c r="C24" s="3"/>
      <c r="D24" s="3"/>
      <c r="E24" s="3"/>
      <c r="F24" s="6"/>
      <c r="G24" s="6"/>
      <c r="H24" s="6"/>
    </row>
    <row r="25" customFormat="false" ht="59.5" hidden="false" customHeight="false" outlineLevel="0" collapsed="false">
      <c r="A25" s="3" t="s">
        <v>96</v>
      </c>
      <c r="B25" s="3" t="s">
        <v>97</v>
      </c>
      <c r="C25" s="3"/>
      <c r="D25" s="3"/>
      <c r="E25" s="3"/>
      <c r="F25" s="6"/>
      <c r="G25" s="6"/>
      <c r="H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  <c r="H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  <c r="H53" s="6"/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6"/>
      <c r="H54" s="6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6"/>
      <c r="H55" s="6"/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7" min="3" style="1" width="13"/>
  </cols>
  <sheetData>
    <row r="1" customFormat="false" ht="24" hidden="false" customHeight="true" outlineLevel="0" collapsed="false">
      <c r="A1" s="16" t="s">
        <v>9</v>
      </c>
      <c r="B1" s="16" t="s">
        <v>9</v>
      </c>
      <c r="C1" s="16" t="s">
        <v>9</v>
      </c>
      <c r="D1" s="16" t="s">
        <v>9</v>
      </c>
      <c r="E1" s="16" t="s">
        <v>9</v>
      </c>
      <c r="F1" s="16" t="s">
        <v>9</v>
      </c>
      <c r="G1" s="16" t="s">
        <v>9</v>
      </c>
      <c r="H1" s="6"/>
    </row>
    <row r="2" customFormat="false" ht="15" hidden="false" customHeight="false" outlineLevel="0" collapsed="false">
      <c r="A2" s="6"/>
      <c r="B2" s="6"/>
      <c r="C2" s="6"/>
      <c r="D2" s="6"/>
      <c r="E2" s="6"/>
      <c r="F2" s="6"/>
      <c r="G2" s="6"/>
      <c r="H2" s="6"/>
    </row>
    <row r="3" customFormat="false" ht="15" hidden="false" customHeight="false" outlineLevel="0" collapsed="false">
      <c r="A3" s="17" t="s">
        <v>31</v>
      </c>
      <c r="B3" s="17" t="s">
        <v>32</v>
      </c>
      <c r="C3" s="17" t="s">
        <v>33</v>
      </c>
      <c r="D3" s="17" t="s">
        <v>34</v>
      </c>
      <c r="E3" s="17" t="s">
        <v>35</v>
      </c>
      <c r="F3" s="17" t="s">
        <v>36</v>
      </c>
      <c r="G3" s="17" t="s">
        <v>37</v>
      </c>
      <c r="H3" s="6"/>
    </row>
    <row r="4" customFormat="false" ht="15" hidden="false" customHeight="false" outlineLevel="0" collapsed="false">
      <c r="A4" s="6" t="s">
        <v>71</v>
      </c>
      <c r="B4" s="6" t="s">
        <v>72</v>
      </c>
      <c r="C4" s="23" t="n">
        <f aca="false">Historical!E4</f>
        <v>1801.291</v>
      </c>
      <c r="D4" s="24" t="n">
        <f aca="false">C4*(1+D5)</f>
        <v>1765.26518</v>
      </c>
      <c r="E4" s="24" t="n">
        <f aca="false">D4*(1+E5)</f>
        <v>1818.2231354</v>
      </c>
      <c r="F4" s="24" t="n">
        <f aca="false">E4*(1+F5)</f>
        <v>1890.952060816</v>
      </c>
      <c r="G4" s="24" t="n">
        <f aca="false">F4*(1+G5)</f>
        <v>1966.59014324864</v>
      </c>
      <c r="H4" s="6"/>
    </row>
    <row r="5" customFormat="false" ht="15" hidden="false" customHeight="false" outlineLevel="0" collapsed="false">
      <c r="A5" s="6" t="s">
        <v>98</v>
      </c>
      <c r="B5" s="6" t="s">
        <v>39</v>
      </c>
      <c r="C5" s="25" t="s">
        <v>40</v>
      </c>
      <c r="D5" s="26" t="n">
        <f aca="false">Assumptions!D4</f>
        <v>-0.02</v>
      </c>
      <c r="E5" s="26" t="n">
        <f aca="false">Assumptions!E4</f>
        <v>0.03</v>
      </c>
      <c r="F5" s="26" t="n">
        <f aca="false">Assumptions!F4</f>
        <v>0.04</v>
      </c>
      <c r="G5" s="26" t="n">
        <f aca="false">Assumptions!G4</f>
        <v>0.04</v>
      </c>
      <c r="H5" s="6"/>
    </row>
    <row r="6" customFormat="false" ht="15" hidden="false" customHeight="false" outlineLevel="0" collapsed="false">
      <c r="A6" s="6" t="s">
        <v>73</v>
      </c>
      <c r="B6" s="6" t="s">
        <v>74</v>
      </c>
      <c r="C6" s="26" t="n">
        <f aca="false">Historical!E5</f>
        <v>53.5210579523242</v>
      </c>
      <c r="D6" s="24" t="n">
        <f aca="false">C6*(1+D7)</f>
        <v>53.5210579523242</v>
      </c>
      <c r="E6" s="24" t="n">
        <f aca="false">D6*(1+E7)</f>
        <v>54.5914791113707</v>
      </c>
      <c r="F6" s="24" t="n">
        <f aca="false">E6*(1+F7)</f>
        <v>55.6833086935981</v>
      </c>
      <c r="G6" s="24" t="n">
        <f aca="false">F6*(1+G7)</f>
        <v>56.7969748674701</v>
      </c>
      <c r="H6" s="6"/>
    </row>
    <row r="7" customFormat="false" ht="15" hidden="false" customHeight="false" outlineLevel="0" collapsed="false">
      <c r="A7" s="6" t="s">
        <v>99</v>
      </c>
      <c r="B7" s="6" t="s">
        <v>39</v>
      </c>
      <c r="C7" s="25" t="s">
        <v>40</v>
      </c>
      <c r="D7" s="26" t="n">
        <f aca="false">Assumptions!D6</f>
        <v>0</v>
      </c>
      <c r="E7" s="26" t="n">
        <f aca="false">Assumptions!E6</f>
        <v>0.02</v>
      </c>
      <c r="F7" s="26" t="n">
        <f aca="false">Assumptions!F6</f>
        <v>0.02</v>
      </c>
      <c r="G7" s="26" t="n">
        <f aca="false">Assumptions!G6</f>
        <v>0.02</v>
      </c>
      <c r="H7" s="6"/>
    </row>
    <row r="8" customFormat="false" ht="14.5" hidden="false" customHeight="true" outlineLevel="0" collapsed="false">
      <c r="A8" s="6" t="s">
        <v>100</v>
      </c>
      <c r="B8" s="6" t="s">
        <v>76</v>
      </c>
      <c r="C8" s="23" t="n">
        <f aca="false">Historical!E6</f>
        <v>96407</v>
      </c>
      <c r="D8" s="24" t="n">
        <f aca="false">D4*D6</f>
        <v>94478.86</v>
      </c>
      <c r="E8" s="24" t="n">
        <f aca="false">E4*E6</f>
        <v>99259.490316</v>
      </c>
      <c r="F8" s="24" t="n">
        <f aca="false">F4*F6</f>
        <v>105294.467327213</v>
      </c>
      <c r="G8" s="24" t="n">
        <f aca="false">G4*G6</f>
        <v>111696.370940707</v>
      </c>
      <c r="H8" s="6"/>
    </row>
    <row r="9" customFormat="false" ht="14.5" hidden="false" customHeight="true" outlineLevel="0" collapsed="false">
      <c r="A9" s="1" t="s">
        <v>101</v>
      </c>
      <c r="B9" s="6" t="s">
        <v>76</v>
      </c>
      <c r="C9" s="23" t="n">
        <v>17148</v>
      </c>
      <c r="D9" s="24" t="n">
        <f aca="false">C9*(1+Assumptions!D5)</f>
        <v>15776.16</v>
      </c>
      <c r="E9" s="24" t="n">
        <f aca="false">D9*(1+Assumptions!E5)</f>
        <v>16249.4448</v>
      </c>
      <c r="F9" s="24" t="n">
        <f aca="false">E9*(1+Assumptions!F5)</f>
        <v>16736.928144</v>
      </c>
      <c r="G9" s="24" t="n">
        <f aca="false">F9*(1+Assumptions!G5)</f>
        <v>17071.66670688</v>
      </c>
      <c r="H9" s="6"/>
    </row>
    <row r="10" customFormat="false" ht="14.5" hidden="false" customHeight="true" outlineLevel="0" collapsed="false">
      <c r="A10" s="6" t="s">
        <v>102</v>
      </c>
      <c r="B10" s="6" t="s">
        <v>76</v>
      </c>
      <c r="C10" s="23" t="n">
        <v>-5966</v>
      </c>
      <c r="D10" s="24" t="n">
        <f aca="false">(D8+D9+D11)*Assumptions!D16</f>
        <v>-5826.816864</v>
      </c>
      <c r="E10" s="24" t="n">
        <f aca="false">(E8+E9+E11)*Assumptions!E16</f>
        <v>-6075.0619970112</v>
      </c>
      <c r="F10" s="24" t="n">
        <f aca="false">(F8+F9+F11)*Assumptions!F16</f>
        <v>-6389.38456435639</v>
      </c>
      <c r="G10" s="24" t="n">
        <f aca="false">(G8+G9+G11)*Assumptions!G16</f>
        <v>-6713.93635477577</v>
      </c>
      <c r="H10" s="6"/>
    </row>
    <row r="11" customFormat="false" ht="15" hidden="false" customHeight="false" outlineLevel="0" collapsed="false">
      <c r="A11" s="6" t="s">
        <v>77</v>
      </c>
      <c r="B11" s="6" t="s">
        <v>76</v>
      </c>
      <c r="C11" s="23" t="n">
        <f aca="false">Historical!E7</f>
        <v>24625</v>
      </c>
      <c r="D11" s="24" t="n">
        <f aca="false">C11*(1+Assumptions!D7)</f>
        <v>24625</v>
      </c>
      <c r="E11" s="24" t="n">
        <f aca="false">D11*(1+Assumptions!E7)</f>
        <v>25117.5</v>
      </c>
      <c r="F11" s="24" t="n">
        <f aca="false">E11*(1+Assumptions!F7)</f>
        <v>25871.025</v>
      </c>
      <c r="G11" s="24" t="n">
        <f aca="false">F11*(1+Assumptions!G7)</f>
        <v>26647.15575</v>
      </c>
      <c r="H11" s="6"/>
    </row>
    <row r="12" customFormat="false" ht="15" hidden="false" customHeight="false" outlineLevel="0" collapsed="false">
      <c r="A12" s="27" t="s">
        <v>78</v>
      </c>
      <c r="B12" s="27" t="s">
        <v>76</v>
      </c>
      <c r="C12" s="28" t="n">
        <f aca="false">Historical!E8</f>
        <v>132214</v>
      </c>
      <c r="D12" s="29" t="n">
        <f aca="false">SUM(D8:D11)</f>
        <v>129053.203136</v>
      </c>
      <c r="E12" s="29" t="n">
        <f aca="false">SUM(E8:E11)</f>
        <v>134551.373118989</v>
      </c>
      <c r="F12" s="29" t="n">
        <f aca="false">SUM(F8:F11)</f>
        <v>141513.035906857</v>
      </c>
      <c r="G12" s="29" t="n">
        <f aca="false">SUM(G8:G11)</f>
        <v>148701.257042811</v>
      </c>
      <c r="H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  <c r="H52" s="6"/>
    </row>
  </sheetData>
  <mergeCells count="1">
    <mergeCell ref="A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7" min="3" style="1" width="13"/>
  </cols>
  <sheetData>
    <row r="1" customFormat="false" ht="24" hidden="false" customHeight="true" outlineLevel="0" collapsed="false">
      <c r="A1" s="16" t="s">
        <v>103</v>
      </c>
      <c r="B1" s="16" t="s">
        <v>103</v>
      </c>
      <c r="C1" s="16" t="s">
        <v>103</v>
      </c>
      <c r="D1" s="16" t="s">
        <v>103</v>
      </c>
      <c r="E1" s="16" t="s">
        <v>103</v>
      </c>
      <c r="F1" s="16" t="s">
        <v>103</v>
      </c>
      <c r="G1" s="16" t="s">
        <v>103</v>
      </c>
      <c r="H1" s="6"/>
    </row>
    <row r="2" customFormat="false" ht="15" hidden="false" customHeight="false" outlineLevel="0" collapsed="false">
      <c r="A2" s="6"/>
      <c r="B2" s="6"/>
      <c r="C2" s="6"/>
      <c r="D2" s="6"/>
      <c r="E2" s="6"/>
      <c r="F2" s="6"/>
      <c r="G2" s="6"/>
      <c r="H2" s="6"/>
    </row>
    <row r="3" customFormat="false" ht="15" hidden="false" customHeight="false" outlineLevel="0" collapsed="false">
      <c r="A3" s="17" t="s">
        <v>31</v>
      </c>
      <c r="B3" s="17" t="s">
        <v>32</v>
      </c>
      <c r="C3" s="17" t="s">
        <v>33</v>
      </c>
      <c r="D3" s="17" t="s">
        <v>34</v>
      </c>
      <c r="E3" s="17" t="s">
        <v>35</v>
      </c>
      <c r="F3" s="17" t="s">
        <v>36</v>
      </c>
      <c r="G3" s="17" t="s">
        <v>37</v>
      </c>
      <c r="H3" s="6"/>
    </row>
    <row r="4" customFormat="false" ht="15" hidden="false" customHeight="false" outlineLevel="0" collapsed="false">
      <c r="A4" s="27" t="s">
        <v>104</v>
      </c>
      <c r="B4" s="27" t="s">
        <v>76</v>
      </c>
      <c r="C4" s="28" t="n">
        <f aca="false">Historical!E8</f>
        <v>132214</v>
      </c>
      <c r="D4" s="28" t="n">
        <f aca="false">'Operating Model'!D12</f>
        <v>129053.203136</v>
      </c>
      <c r="E4" s="28" t="n">
        <f aca="false">'Operating Model'!E12</f>
        <v>134551.373118989</v>
      </c>
      <c r="F4" s="28" t="n">
        <f aca="false">'Operating Model'!F12</f>
        <v>141513.035906857</v>
      </c>
      <c r="G4" s="28" t="n">
        <f aca="false">'Operating Model'!G12</f>
        <v>148701.257042811</v>
      </c>
      <c r="H4" s="6"/>
    </row>
    <row r="5" customFormat="false" ht="15" hidden="false" customHeight="false" outlineLevel="0" collapsed="false">
      <c r="A5" s="6" t="s">
        <v>79</v>
      </c>
      <c r="B5" s="6" t="s">
        <v>76</v>
      </c>
      <c r="C5" s="23" t="n">
        <f aca="false">Historical!E9</f>
        <v>22333</v>
      </c>
      <c r="D5" s="24" t="n">
        <f aca="false">D4*Assumptions!D8</f>
        <v>22584.3105488</v>
      </c>
      <c r="E5" s="24" t="n">
        <f aca="false">E4*Assumptions!E8</f>
        <v>24892.0040270129</v>
      </c>
      <c r="F5" s="24" t="n">
        <f aca="false">F4*Assumptions!F8</f>
        <v>26887.4768223028</v>
      </c>
      <c r="G5" s="24" t="n">
        <f aca="false">G4*Assumptions!G8</f>
        <v>28996.7451233482</v>
      </c>
      <c r="H5" s="6"/>
    </row>
    <row r="6" customFormat="false" ht="15" hidden="false" customHeight="false" outlineLevel="0" collapsed="false">
      <c r="A6" s="6" t="s">
        <v>44</v>
      </c>
      <c r="B6" s="6" t="s">
        <v>39</v>
      </c>
      <c r="C6" s="30" t="n">
        <f aca="false">C5/C4</f>
        <v>0.168915546008743</v>
      </c>
      <c r="D6" s="30" t="n">
        <f aca="false">D5/D4</f>
        <v>0.175</v>
      </c>
      <c r="E6" s="30" t="n">
        <f aca="false">E5/E4</f>
        <v>0.185</v>
      </c>
      <c r="F6" s="30" t="n">
        <f aca="false">F5/F4</f>
        <v>0.19</v>
      </c>
      <c r="G6" s="30" t="n">
        <f aca="false">G5/G4</f>
        <v>0.195</v>
      </c>
      <c r="H6" s="6"/>
    </row>
    <row r="7" customFormat="false" ht="15" hidden="false" customHeight="false" outlineLevel="0" collapsed="false">
      <c r="A7" s="6" t="s">
        <v>80</v>
      </c>
      <c r="B7" s="6" t="s">
        <v>76</v>
      </c>
      <c r="C7" s="23" t="n">
        <f aca="false">Historical!E10</f>
        <v>6055</v>
      </c>
      <c r="D7" s="24" t="n">
        <f aca="false">D4*Assumptions!D9</f>
        <v>5549.287734848</v>
      </c>
      <c r="E7" s="24" t="n">
        <f aca="false">E4*Assumptions!E9</f>
        <v>5651.15767099753</v>
      </c>
      <c r="F7" s="24" t="n">
        <f aca="false">F4*Assumptions!F9</f>
        <v>5802.03447218112</v>
      </c>
      <c r="G7" s="24" t="n">
        <f aca="false">G4*Assumptions!G9</f>
        <v>5948.05028171245</v>
      </c>
      <c r="H7" s="6"/>
    </row>
    <row r="8" customFormat="false" ht="15" hidden="false" customHeight="false" outlineLevel="0" collapsed="false">
      <c r="A8" s="6" t="s">
        <v>81</v>
      </c>
      <c r="B8" s="6" t="s">
        <v>76</v>
      </c>
      <c r="C8" s="23" t="n">
        <f aca="false">Historical!E11</f>
        <v>12195</v>
      </c>
      <c r="D8" s="24" t="n">
        <f aca="false">D4*Assumptions!D10</f>
        <v>11872.894688512</v>
      </c>
      <c r="E8" s="24" t="n">
        <f aca="false">E4*Assumptions!E10</f>
        <v>12109.623580709</v>
      </c>
      <c r="F8" s="24" t="n">
        <f aca="false">F4*Assumptions!F10</f>
        <v>12453.1471598034</v>
      </c>
      <c r="G8" s="24" t="n">
        <f aca="false">G4*Assumptions!G10</f>
        <v>12639.606848639</v>
      </c>
      <c r="H8" s="6"/>
    </row>
    <row r="9" customFormat="false" ht="15" hidden="false" customHeight="false" outlineLevel="0" collapsed="false">
      <c r="A9" s="11" t="s">
        <v>105</v>
      </c>
      <c r="B9" s="6" t="s">
        <v>76</v>
      </c>
      <c r="C9" s="11" t="n">
        <v>1737</v>
      </c>
      <c r="D9" s="24" t="n">
        <f aca="false">D4*Assumptions!D11</f>
        <v>1290.53203136</v>
      </c>
      <c r="E9" s="24" t="n">
        <f aca="false">E4*Assumptions!E11</f>
        <v>1076.41098495191</v>
      </c>
      <c r="F9" s="24" t="n">
        <f aca="false">F4*Assumptions!F11</f>
        <v>849.07821544114</v>
      </c>
      <c r="G9" s="24" t="n">
        <f aca="false">G4*Assumptions!G11</f>
        <v>743.506285214056</v>
      </c>
      <c r="H9" s="6"/>
    </row>
    <row r="10" customFormat="false" ht="15" hidden="false" customHeight="false" outlineLevel="0" collapsed="false">
      <c r="A10" s="27" t="s">
        <v>82</v>
      </c>
      <c r="B10" s="27" t="s">
        <v>76</v>
      </c>
      <c r="C10" s="28" t="n">
        <f aca="false">Historical!E12</f>
        <v>5820</v>
      </c>
      <c r="D10" s="29" t="n">
        <f aca="false">D5-D7-D8+D9</f>
        <v>6452.6601568</v>
      </c>
      <c r="E10" s="29" t="n">
        <f aca="false">E5-E7-E8+E9</f>
        <v>8207.63376025831</v>
      </c>
      <c r="F10" s="29" t="n">
        <f aca="false">F5-F7-F8+F9</f>
        <v>9481.37340575939</v>
      </c>
      <c r="G10" s="29" t="n">
        <f aca="false">G5-G7-G8+G9</f>
        <v>11152.5942782108</v>
      </c>
      <c r="H10" s="6"/>
    </row>
    <row r="11" customFormat="false" ht="15" hidden="false" customHeight="false" outlineLevel="0" collapsed="false">
      <c r="A11" s="6" t="s">
        <v>106</v>
      </c>
      <c r="B11" s="6" t="s">
        <v>39</v>
      </c>
      <c r="C11" s="30" t="n">
        <f aca="false">C10/C4</f>
        <v>0.0440195440724885</v>
      </c>
      <c r="D11" s="30" t="n">
        <f aca="false">D10/D4</f>
        <v>0.05</v>
      </c>
      <c r="E11" s="30" t="n">
        <f aca="false">E10/E4</f>
        <v>0.061</v>
      </c>
      <c r="F11" s="30" t="n">
        <f aca="false">F10/F4</f>
        <v>0.067</v>
      </c>
      <c r="G11" s="30" t="n">
        <f aca="false">G10/G4</f>
        <v>0.075</v>
      </c>
      <c r="H11" s="6"/>
    </row>
    <row r="12" customFormat="false" ht="15" hidden="false" customHeight="false" outlineLevel="0" collapsed="false">
      <c r="A12" s="6" t="s">
        <v>107</v>
      </c>
      <c r="B12" s="6" t="s">
        <v>76</v>
      </c>
      <c r="C12" s="24" t="n">
        <f aca="false">C10*Assumptions!D12</f>
        <v>1629.6</v>
      </c>
      <c r="D12" s="24" t="n">
        <f aca="false">D10*Assumptions!D12</f>
        <v>1806.744843904</v>
      </c>
      <c r="E12" s="24" t="n">
        <f aca="false">E10*Assumptions!E12</f>
        <v>2298.13745287233</v>
      </c>
      <c r="F12" s="24" t="n">
        <f aca="false">F10*Assumptions!F12</f>
        <v>2654.78455361263</v>
      </c>
      <c r="G12" s="24" t="n">
        <f aca="false">G10*Assumptions!G12</f>
        <v>3122.72639789904</v>
      </c>
      <c r="H12" s="6"/>
    </row>
    <row r="13" customFormat="false" ht="15" hidden="false" customHeight="false" outlineLevel="0" collapsed="false">
      <c r="A13" s="27" t="s">
        <v>108</v>
      </c>
      <c r="B13" s="27" t="s">
        <v>76</v>
      </c>
      <c r="C13" s="29" t="n">
        <f aca="false">C10-C12</f>
        <v>4190.4</v>
      </c>
      <c r="D13" s="29" t="n">
        <f aca="false">D10-D12</f>
        <v>4645.915312896</v>
      </c>
      <c r="E13" s="29" t="n">
        <f aca="false">E10-E12</f>
        <v>5909.49630738599</v>
      </c>
      <c r="F13" s="29" t="n">
        <f aca="false">F10-F12</f>
        <v>6826.58885214676</v>
      </c>
      <c r="G13" s="29" t="n">
        <f aca="false">G10-G12</f>
        <v>8029.86788031181</v>
      </c>
      <c r="H13" s="6"/>
    </row>
    <row r="14" customFormat="false" ht="15" hidden="false" customHeight="false" outlineLevel="0" collapsed="false">
      <c r="A14" s="6" t="s">
        <v>109</v>
      </c>
      <c r="B14" s="6" t="s">
        <v>39</v>
      </c>
      <c r="C14" s="30" t="n">
        <f aca="false">C13/C4</f>
        <v>0.0316940717321918</v>
      </c>
      <c r="D14" s="30" t="n">
        <f aca="false">D13/D4</f>
        <v>0.036</v>
      </c>
      <c r="E14" s="30" t="n">
        <f aca="false">E13/E4</f>
        <v>0.04392</v>
      </c>
      <c r="F14" s="30" t="n">
        <f aca="false">F13/F4</f>
        <v>0.04824</v>
      </c>
      <c r="G14" s="30" t="n">
        <f aca="false">G13/G4</f>
        <v>0.054</v>
      </c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6"/>
    </row>
  </sheetData>
  <mergeCells count="1">
    <mergeCell ref="A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7" min="3" style="1" width="13"/>
  </cols>
  <sheetData>
    <row r="1" customFormat="false" ht="24" hidden="false" customHeight="true" outlineLevel="0" collapsed="false">
      <c r="A1" s="16" t="s">
        <v>110</v>
      </c>
      <c r="B1" s="16" t="s">
        <v>110</v>
      </c>
      <c r="C1" s="16" t="s">
        <v>110</v>
      </c>
      <c r="D1" s="16" t="s">
        <v>110</v>
      </c>
      <c r="E1" s="16" t="s">
        <v>110</v>
      </c>
      <c r="F1" s="16" t="s">
        <v>110</v>
      </c>
      <c r="G1" s="16" t="s">
        <v>110</v>
      </c>
      <c r="H1" s="6"/>
    </row>
    <row r="2" customFormat="false" ht="15" hidden="false" customHeight="false" outlineLevel="0" collapsed="false">
      <c r="A2" s="6"/>
      <c r="B2" s="6"/>
      <c r="C2" s="6"/>
      <c r="D2" s="6"/>
      <c r="E2" s="6"/>
      <c r="F2" s="6"/>
      <c r="G2" s="6"/>
      <c r="H2" s="6"/>
    </row>
    <row r="3" customFormat="false" ht="15" hidden="false" customHeight="false" outlineLevel="0" collapsed="false">
      <c r="A3" s="17" t="s">
        <v>31</v>
      </c>
      <c r="B3" s="17" t="s">
        <v>32</v>
      </c>
      <c r="C3" s="17" t="s">
        <v>33</v>
      </c>
      <c r="D3" s="17" t="s">
        <v>34</v>
      </c>
      <c r="E3" s="17" t="s">
        <v>35</v>
      </c>
      <c r="F3" s="17" t="s">
        <v>36</v>
      </c>
      <c r="G3" s="17" t="s">
        <v>37</v>
      </c>
      <c r="H3" s="6"/>
    </row>
    <row r="4" customFormat="false" ht="15" hidden="false" customHeight="false" outlineLevel="0" collapsed="false">
      <c r="A4" s="6" t="s">
        <v>111</v>
      </c>
      <c r="B4" s="6" t="s">
        <v>76</v>
      </c>
      <c r="C4" s="23" t="n">
        <f aca="false">'P&amp;L Forecast'!C13</f>
        <v>4190.4</v>
      </c>
      <c r="D4" s="23" t="n">
        <f aca="false">'P&amp;L Forecast'!D13</f>
        <v>4645.915312896</v>
      </c>
      <c r="E4" s="23" t="n">
        <f aca="false">'P&amp;L Forecast'!E13</f>
        <v>5909.49630738599</v>
      </c>
      <c r="F4" s="23" t="n">
        <f aca="false">'P&amp;L Forecast'!F13</f>
        <v>6826.58885214676</v>
      </c>
      <c r="G4" s="23" t="n">
        <f aca="false">'P&amp;L Forecast'!G13</f>
        <v>8029.86788031181</v>
      </c>
      <c r="H4" s="6"/>
    </row>
    <row r="5" customFormat="false" ht="15" hidden="false" customHeight="false" outlineLevel="0" collapsed="false">
      <c r="A5" s="6" t="s">
        <v>84</v>
      </c>
      <c r="B5" s="6" t="s">
        <v>76</v>
      </c>
      <c r="C5" s="23" t="n">
        <f aca="false">Historical!E14</f>
        <v>7223</v>
      </c>
      <c r="D5" s="24" t="n">
        <f aca="false">'P&amp;L Forecast'!D4*Assumptions!D13</f>
        <v>6968.872969344</v>
      </c>
      <c r="E5" s="24" t="n">
        <f aca="false">'P&amp;L Forecast'!E4*Assumptions!E13</f>
        <v>7131.22277530641</v>
      </c>
      <c r="F5" s="24" t="n">
        <f aca="false">'P&amp;L Forecast'!F4*Assumptions!F13</f>
        <v>7358.67786715654</v>
      </c>
      <c r="G5" s="24" t="n">
        <f aca="false">'P&amp;L Forecast'!G4*Assumptions!G13</f>
        <v>7583.76410918337</v>
      </c>
      <c r="H5" s="6"/>
    </row>
    <row r="6" customFormat="false" ht="15" hidden="false" customHeight="false" outlineLevel="0" collapsed="false">
      <c r="A6" s="6" t="s">
        <v>85</v>
      </c>
      <c r="B6" s="6" t="s">
        <v>76</v>
      </c>
      <c r="C6" s="23" t="n">
        <f aca="false">Historical!E15</f>
        <v>9742</v>
      </c>
      <c r="D6" s="24" t="n">
        <f aca="false">'P&amp;L Forecast'!D4*Assumptions!D14</f>
        <v>9033.72421952</v>
      </c>
      <c r="E6" s="24" t="n">
        <f aca="false">'P&amp;L Forecast'!E4*Assumptions!E14</f>
        <v>8745.83925273427</v>
      </c>
      <c r="F6" s="24" t="n">
        <f aca="false">'P&amp;L Forecast'!F4*Assumptions!F14</f>
        <v>8490.7821544114</v>
      </c>
      <c r="G6" s="24" t="n">
        <f aca="false">'P&amp;L Forecast'!G4*Assumptions!G14</f>
        <v>8922.07542256867</v>
      </c>
      <c r="H6" s="6"/>
    </row>
    <row r="7" customFormat="false" ht="15" hidden="false" customHeight="false" outlineLevel="0" collapsed="false">
      <c r="A7" s="6" t="s">
        <v>86</v>
      </c>
      <c r="B7" s="6" t="s">
        <v>76</v>
      </c>
      <c r="C7" s="23" t="n">
        <f aca="false">Historical!E16</f>
        <v>19234</v>
      </c>
      <c r="D7" s="24" t="n">
        <f aca="false">'P&amp;L Forecast'!D4*Assumptions!D15</f>
        <v>18712.71445472</v>
      </c>
      <c r="E7" s="24" t="n">
        <f aca="false">'P&amp;L Forecast'!E4*Assumptions!E15</f>
        <v>19509.9491022534</v>
      </c>
      <c r="F7" s="24" t="n">
        <f aca="false">'P&amp;L Forecast'!F4*Assumptions!F15</f>
        <v>20519.3902064942</v>
      </c>
      <c r="G7" s="24" t="n">
        <f aca="false">'P&amp;L Forecast'!G4*Assumptions!G15</f>
        <v>21561.6822712076</v>
      </c>
      <c r="H7" s="6"/>
    </row>
    <row r="8" customFormat="false" ht="15" hidden="false" customHeight="false" outlineLevel="0" collapsed="false">
      <c r="A8" s="6" t="s">
        <v>112</v>
      </c>
      <c r="B8" s="6" t="s">
        <v>76</v>
      </c>
      <c r="C8" s="6" t="s">
        <v>40</v>
      </c>
      <c r="D8" s="24" t="n">
        <f aca="false">D7-C7</f>
        <v>-521.285545280003</v>
      </c>
      <c r="E8" s="24" t="n">
        <f aca="false">E7-D7</f>
        <v>797.234647533373</v>
      </c>
      <c r="F8" s="24" t="n">
        <f aca="false">F7-E7</f>
        <v>1009.44110424084</v>
      </c>
      <c r="G8" s="24" t="n">
        <f aca="false">G7-F7</f>
        <v>1042.29206471342</v>
      </c>
      <c r="H8" s="6"/>
      <c r="I8" s="1" t="n">
        <f aca="false">D7-C7</f>
        <v>-521.285545280003</v>
      </c>
    </row>
    <row r="9" customFormat="false" ht="15" hidden="false" customHeight="false" outlineLevel="0" collapsed="false">
      <c r="A9" s="27" t="s">
        <v>113</v>
      </c>
      <c r="B9" s="27" t="s">
        <v>76</v>
      </c>
      <c r="C9" s="29" t="n">
        <f aca="false">C4+C5-C6</f>
        <v>1671.4</v>
      </c>
      <c r="D9" s="29" t="n">
        <f aca="false">D4+D5-D6-D8</f>
        <v>3102.349608</v>
      </c>
      <c r="E9" s="29" t="n">
        <f aca="false">E4+E5-E6-E8</f>
        <v>3497.64518242475</v>
      </c>
      <c r="F9" s="29" t="n">
        <f aca="false">F4+F5-F6-F8</f>
        <v>4685.04346065107</v>
      </c>
      <c r="G9" s="29" t="n">
        <f aca="false">G4+G5-G6-G8</f>
        <v>5649.26450221309</v>
      </c>
      <c r="H9" s="6"/>
    </row>
    <row r="10" customFormat="false" ht="15" hidden="false" customHeight="false" outlineLevel="0" collapsed="false">
      <c r="A10" s="6" t="s">
        <v>114</v>
      </c>
      <c r="B10" s="6" t="s">
        <v>39</v>
      </c>
      <c r="C10" s="30" t="n">
        <f aca="false">C9/'P&amp;L Forecast'!C4</f>
        <v>0.012641626454082</v>
      </c>
      <c r="D10" s="30" t="n">
        <f aca="false">D9/'P&amp;L Forecast'!D4</f>
        <v>0.0240393072981742</v>
      </c>
      <c r="E10" s="30" t="n">
        <f aca="false">E9/'P&amp;L Forecast'!E4</f>
        <v>0.0259948679924035</v>
      </c>
      <c r="F10" s="30" t="n">
        <f aca="false">F9/'P&amp;L Forecast'!F4</f>
        <v>0.0331067977633859</v>
      </c>
      <c r="G10" s="30" t="n">
        <f aca="false">G9/'P&amp;L Forecast'!G4</f>
        <v>0.0379906976884981</v>
      </c>
      <c r="H10" s="6"/>
    </row>
    <row r="11" customFormat="false" ht="15" hidden="false" customHeight="false" outlineLevel="0" collapsed="false">
      <c r="A11" s="31" t="s">
        <v>115</v>
      </c>
      <c r="B11" s="31"/>
      <c r="C11" s="31"/>
      <c r="D11" s="31"/>
      <c r="E11" s="31"/>
      <c r="F11" s="31"/>
      <c r="G11" s="31"/>
      <c r="H11" s="6"/>
    </row>
    <row r="12" customFormat="false" ht="15" hidden="false" customHeight="false" outlineLevel="0" collapsed="false">
      <c r="A12" s="6" t="s">
        <v>116</v>
      </c>
      <c r="B12" s="27" t="s">
        <v>76</v>
      </c>
      <c r="C12" s="6"/>
      <c r="D12" s="6" t="n">
        <v>4500</v>
      </c>
      <c r="E12" s="6" t="n">
        <v>5000</v>
      </c>
      <c r="F12" s="6" t="n">
        <v>5500</v>
      </c>
      <c r="G12" s="6" t="n">
        <v>6000</v>
      </c>
      <c r="H12" s="6"/>
    </row>
    <row r="13" customFormat="false" ht="15" hidden="false" customHeight="false" outlineLevel="0" collapsed="false">
      <c r="A13" s="11" t="s">
        <v>117</v>
      </c>
      <c r="B13" s="27" t="s">
        <v>76</v>
      </c>
      <c r="C13" s="6" t="n">
        <v>5414</v>
      </c>
      <c r="D13" s="6" t="n">
        <v>5000</v>
      </c>
      <c r="E13" s="6" t="n">
        <v>6000</v>
      </c>
      <c r="F13" s="6" t="n">
        <v>7000</v>
      </c>
      <c r="G13" s="6" t="n">
        <v>7500</v>
      </c>
      <c r="H13" s="6"/>
    </row>
    <row r="14" customFormat="false" ht="15" hidden="false" customHeight="false" outlineLevel="0" collapsed="false">
      <c r="A14" s="11" t="s">
        <v>118</v>
      </c>
      <c r="B14" s="27" t="s">
        <v>76</v>
      </c>
      <c r="C14" s="6"/>
      <c r="D14" s="6" t="n">
        <v>5500</v>
      </c>
      <c r="E14" s="6" t="n">
        <v>7000</v>
      </c>
      <c r="F14" s="6" t="n">
        <v>8500</v>
      </c>
      <c r="G14" s="6" t="n">
        <v>9500</v>
      </c>
      <c r="H14" s="6"/>
    </row>
    <row r="15" customFormat="false" ht="15" hidden="false" customHeight="false" outlineLevel="0" collapsed="false">
      <c r="A15" s="11" t="s">
        <v>119</v>
      </c>
      <c r="B15" s="6" t="s">
        <v>39</v>
      </c>
      <c r="C15" s="6"/>
      <c r="D15" s="32" t="n">
        <f aca="false">D13/C13-1</f>
        <v>-0.0764684152198005</v>
      </c>
      <c r="E15" s="32" t="n">
        <f aca="false">E13/D13-1</f>
        <v>0.2</v>
      </c>
      <c r="F15" s="32" t="n">
        <f aca="false">F13/E13-1</f>
        <v>0.166666666666667</v>
      </c>
      <c r="G15" s="32" t="n">
        <f aca="false">G13/F13-1</f>
        <v>0.0714285714285714</v>
      </c>
      <c r="H15" s="6"/>
    </row>
    <row r="16" customFormat="false" ht="15" hidden="false" customHeight="false" outlineLevel="0" collapsed="false">
      <c r="A16" s="6"/>
      <c r="B16" s="6"/>
      <c r="C16" s="6"/>
      <c r="D16" s="32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32"/>
      <c r="E17" s="6"/>
      <c r="F17" s="6"/>
      <c r="G17" s="6"/>
      <c r="H17" s="6"/>
    </row>
    <row r="18" customFormat="false" ht="15" hidden="false" customHeight="false" outlineLevel="0" collapsed="false">
      <c r="A18" s="31" t="s">
        <v>120</v>
      </c>
      <c r="B18" s="6"/>
      <c r="C18" s="6"/>
      <c r="D18" s="11"/>
      <c r="E18" s="6"/>
      <c r="F18" s="6"/>
      <c r="G18" s="6"/>
      <c r="H18" s="6"/>
    </row>
    <row r="19" customFormat="false" ht="15" hidden="false" customHeight="false" outlineLevel="0" collapsed="false">
      <c r="A19" s="6"/>
      <c r="B19" s="6"/>
      <c r="C19" s="6"/>
      <c r="D19" s="6" t="n">
        <f aca="false">IF(Assumptions!$B$29="Bear",D12,IF(Assumptions!$B$29="Base",D13,D14))</f>
        <v>5000</v>
      </c>
      <c r="E19" s="6" t="n">
        <f aca="false">IF(Assumptions!$B$29="Bear",E12,IF(Assumptions!$B$29="Base",E13,E14))</f>
        <v>6000</v>
      </c>
      <c r="F19" s="6" t="n">
        <f aca="false">IF(Assumptions!$B$29="Bear",F12,IF(Assumptions!$B$29="Base",F13,F14))</f>
        <v>7000</v>
      </c>
      <c r="G19" s="6" t="n">
        <f aca="false">IF(Assumptions!$B$29="Bear",G12,IF(Assumptions!$B$29="Base",G13,G14))</f>
        <v>7500</v>
      </c>
      <c r="H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  <c r="H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  <c r="H53" s="6"/>
    </row>
    <row r="1048576" customFormat="false" ht="12.8" hidden="false" customHeight="false" outlineLevel="0" collapsed="false"/>
  </sheetData>
  <mergeCells count="1">
    <mergeCell ref="A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33.32"/>
    <col collapsed="false" customWidth="true" hidden="false" outlineLevel="0" max="2" min="2" style="1" width="16.38"/>
    <col collapsed="false" customWidth="true" hidden="false" outlineLevel="0" max="3" min="3" style="1" width="15.49"/>
    <col collapsed="false" customWidth="true" hidden="false" outlineLevel="0" max="4" min="4" style="1" width="29.3"/>
    <col collapsed="false" customWidth="true" hidden="false" outlineLevel="0" max="5" min="5" style="1" width="13"/>
    <col collapsed="false" customWidth="true" hidden="false" outlineLevel="0" max="6" min="6" style="1" width="26.5"/>
    <col collapsed="false" customWidth="true" hidden="false" outlineLevel="0" max="7" min="7" style="1" width="11.19"/>
  </cols>
  <sheetData>
    <row r="1" customFormat="false" ht="5" hidden="false" customHeight="true" outlineLevel="0" collapsed="false"/>
    <row r="2" customFormat="false" ht="32.5" hidden="false" customHeight="true" outlineLevel="0" collapsed="false">
      <c r="C2" s="33"/>
    </row>
    <row r="3" customFormat="false" ht="12.8" hidden="false" customHeight="true" outlineLevel="0" collapsed="false"/>
    <row r="4" customFormat="false" ht="12.8" hidden="false" customHeight="true" outlineLevel="0" collapsed="false"/>
    <row r="5" customFormat="false" ht="24" hidden="false" customHeight="true" outlineLevel="0" collapsed="false">
      <c r="A5" s="16" t="s">
        <v>15</v>
      </c>
      <c r="B5" s="16" t="s">
        <v>15</v>
      </c>
      <c r="C5" s="16" t="s">
        <v>15</v>
      </c>
      <c r="D5" s="16" t="s">
        <v>15</v>
      </c>
      <c r="E5" s="16" t="s">
        <v>15</v>
      </c>
      <c r="F5" s="16" t="s">
        <v>15</v>
      </c>
      <c r="G5" s="16" t="s">
        <v>15</v>
      </c>
      <c r="H5" s="6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</row>
    <row r="7" customFormat="false" ht="15" hidden="false" customHeight="false" outlineLevel="0" collapsed="false">
      <c r="A7" s="17" t="s">
        <v>31</v>
      </c>
      <c r="B7" s="17" t="s">
        <v>32</v>
      </c>
      <c r="C7" s="17" t="s">
        <v>33</v>
      </c>
      <c r="D7" s="17" t="s">
        <v>34</v>
      </c>
      <c r="E7" s="17" t="s">
        <v>35</v>
      </c>
      <c r="F7" s="17" t="s">
        <v>36</v>
      </c>
      <c r="G7" s="17" t="s">
        <v>37</v>
      </c>
      <c r="H7" s="6"/>
    </row>
    <row r="8" customFormat="false" ht="15" hidden="false" customHeight="false" outlineLevel="0" collapsed="false">
      <c r="A8" s="34" t="s">
        <v>121</v>
      </c>
      <c r="B8" s="6" t="s">
        <v>76</v>
      </c>
      <c r="C8" s="23" t="n">
        <f aca="false">'Cash Flow'!C13</f>
        <v>5414</v>
      </c>
      <c r="D8" s="23" t="n">
        <f aca="false">'Cash Flow'!D19</f>
        <v>5000</v>
      </c>
      <c r="E8" s="23" t="n">
        <f aca="false">'Cash Flow'!E19</f>
        <v>6000</v>
      </c>
      <c r="F8" s="23" t="n">
        <f aca="false">'Cash Flow'!F19</f>
        <v>7000</v>
      </c>
      <c r="G8" s="23" t="n">
        <f aca="false">'Cash Flow'!G19</f>
        <v>7500</v>
      </c>
      <c r="H8" s="6"/>
    </row>
    <row r="9" customFormat="false" ht="15" hidden="false" customHeight="false" outlineLevel="0" collapsed="false">
      <c r="A9" s="6" t="s">
        <v>122</v>
      </c>
      <c r="B9" s="6" t="s">
        <v>123</v>
      </c>
      <c r="C9" s="20" t="n">
        <v>0</v>
      </c>
      <c r="D9" s="20" t="n">
        <v>1</v>
      </c>
      <c r="E9" s="20" t="n">
        <v>2</v>
      </c>
      <c r="F9" s="20" t="n">
        <v>3</v>
      </c>
      <c r="G9" s="20" t="n">
        <v>4</v>
      </c>
      <c r="H9" s="6"/>
    </row>
    <row r="10" customFormat="false" ht="15" hidden="false" customHeight="false" outlineLevel="0" collapsed="false">
      <c r="A10" s="6" t="s">
        <v>124</v>
      </c>
      <c r="B10" s="6" t="s">
        <v>125</v>
      </c>
      <c r="C10" s="35" t="s">
        <v>40</v>
      </c>
      <c r="D10" s="36" t="n">
        <f aca="false">1/(1+Assumptions!B19)^D9</f>
        <v>0.91324200913242</v>
      </c>
      <c r="E10" s="36" t="n">
        <f aca="false">1/(1+Assumptions!B19)^E9</f>
        <v>0.834010967244219</v>
      </c>
      <c r="F10" s="36" t="n">
        <f aca="false">1/(1+Assumptions!$B$19)^F9</f>
        <v>0.761653851364584</v>
      </c>
      <c r="G10" s="36" t="n">
        <f aca="false">1/(1+Assumptions!$B$19)^G9</f>
        <v>0.695574293483638</v>
      </c>
      <c r="H10" s="6"/>
    </row>
    <row r="11" customFormat="false" ht="15" hidden="false" customHeight="false" outlineLevel="0" collapsed="false">
      <c r="A11" s="6" t="s">
        <v>126</v>
      </c>
      <c r="B11" s="6" t="s">
        <v>76</v>
      </c>
      <c r="C11" s="24"/>
      <c r="D11" s="24" t="n">
        <f aca="false">D8*D10</f>
        <v>4566.2100456621</v>
      </c>
      <c r="E11" s="24" t="n">
        <f aca="false">E8*E10</f>
        <v>5004.06580346531</v>
      </c>
      <c r="F11" s="24" t="n">
        <f aca="false">F8*F10</f>
        <v>5331.57695955209</v>
      </c>
      <c r="G11" s="24" t="n">
        <f aca="false">G8*G10</f>
        <v>5216.80720112729</v>
      </c>
      <c r="H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</row>
    <row r="14" customFormat="false" ht="15" hidden="false" customHeight="false" outlineLevel="0" collapsed="false">
      <c r="A14" s="37" t="s">
        <v>127</v>
      </c>
      <c r="B14" s="37" t="s">
        <v>127</v>
      </c>
      <c r="C14" s="37" t="s">
        <v>127</v>
      </c>
      <c r="D14" s="37" t="s">
        <v>127</v>
      </c>
      <c r="E14" s="6"/>
      <c r="F14" s="6"/>
      <c r="G14" s="6"/>
      <c r="H14" s="6"/>
    </row>
    <row r="15" customFormat="false" ht="15" hidden="false" customHeight="false" outlineLevel="0" collapsed="false">
      <c r="A15" s="6" t="s">
        <v>128</v>
      </c>
      <c r="B15" s="24" t="n">
        <f aca="false">G8*(1+Assumptions!B26)</f>
        <v>7650</v>
      </c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 t="s">
        <v>129</v>
      </c>
      <c r="B16" s="24" t="n">
        <f aca="false">B15/(Assumptions!B19-Assumptions!B26)</f>
        <v>102000</v>
      </c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 t="s">
        <v>130</v>
      </c>
      <c r="B17" s="24" t="n">
        <f aca="false">B16*G10</f>
        <v>70948.5779353311</v>
      </c>
      <c r="C17" s="6"/>
      <c r="D17" s="6"/>
      <c r="E17" s="6"/>
      <c r="F17" s="11" t="s">
        <v>131</v>
      </c>
      <c r="G17" s="6" t="n">
        <f aca="false">Assumptions!B32</f>
        <v>12053</v>
      </c>
      <c r="H17" s="6"/>
    </row>
    <row r="18" customFormat="false" ht="15" hidden="false" customHeight="false" outlineLevel="0" collapsed="false">
      <c r="A18" s="6" t="s">
        <v>132</v>
      </c>
      <c r="B18" s="24" t="n">
        <f aca="false">SUM(D11:G11)</f>
        <v>20118.6600098068</v>
      </c>
      <c r="C18" s="6"/>
      <c r="D18" s="6"/>
      <c r="E18" s="6"/>
      <c r="F18" s="11" t="s">
        <v>133</v>
      </c>
      <c r="G18" s="6" t="n">
        <f aca="false">Assumptions!B31</f>
        <v>1.47</v>
      </c>
      <c r="H18" s="6"/>
    </row>
    <row r="19" customFormat="false" ht="15" hidden="false" customHeight="false" outlineLevel="0" collapsed="false">
      <c r="A19" s="27" t="s">
        <v>134</v>
      </c>
      <c r="B19" s="29" t="n">
        <f aca="false">B17+B18</f>
        <v>91067.2379451379</v>
      </c>
      <c r="C19" s="6"/>
      <c r="D19" s="6"/>
      <c r="E19" s="6"/>
      <c r="F19" s="11" t="s">
        <v>135</v>
      </c>
      <c r="G19" s="6" t="n">
        <f aca="false">G17*G18</f>
        <v>17717.91</v>
      </c>
      <c r="H19" s="6"/>
    </row>
    <row r="20" customFormat="false" ht="15" hidden="false" customHeight="false" outlineLevel="0" collapsed="false">
      <c r="A20" s="11"/>
      <c r="B20" s="11"/>
      <c r="C20" s="6"/>
      <c r="D20" s="6"/>
      <c r="E20" s="6"/>
      <c r="F20" s="6"/>
      <c r="G20" s="6"/>
      <c r="H20" s="6"/>
    </row>
    <row r="21" customFormat="false" ht="15" hidden="false" customHeight="false" outlineLevel="0" collapsed="false">
      <c r="A21" s="11" t="s">
        <v>136</v>
      </c>
      <c r="B21" s="38" t="n">
        <f aca="false">B19</f>
        <v>91067.2379451379</v>
      </c>
      <c r="C21" s="6"/>
      <c r="D21" s="6"/>
      <c r="E21" s="6"/>
      <c r="F21" s="6"/>
      <c r="G21" s="6"/>
      <c r="H21" s="6"/>
    </row>
    <row r="22" customFormat="false" ht="15" hidden="false" customHeight="false" outlineLevel="0" collapsed="false">
      <c r="A22" s="11" t="s">
        <v>137</v>
      </c>
      <c r="B22" s="11" t="n">
        <f aca="false">Assumptions!B30</f>
        <v>32162</v>
      </c>
      <c r="C22" s="6"/>
      <c r="D22" s="6"/>
      <c r="E22" s="6"/>
      <c r="F22" s="6"/>
      <c r="G22" s="6"/>
      <c r="H22" s="6"/>
    </row>
    <row r="23" customFormat="false" ht="15" hidden="false" customHeight="false" outlineLevel="0" collapsed="false">
      <c r="A23" s="11" t="s">
        <v>138</v>
      </c>
      <c r="B23" s="11" t="n">
        <f aca="false">G19</f>
        <v>17717.91</v>
      </c>
      <c r="C23" s="6"/>
      <c r="D23" s="6"/>
      <c r="E23" s="6"/>
      <c r="F23" s="6"/>
      <c r="G23" s="6"/>
      <c r="H23" s="6"/>
    </row>
    <row r="24" customFormat="false" ht="15" hidden="false" customHeight="false" outlineLevel="0" collapsed="false">
      <c r="A24" s="11" t="s">
        <v>139</v>
      </c>
      <c r="B24" s="39" t="n">
        <f aca="false">B21+B22+B23</f>
        <v>140947.147945138</v>
      </c>
      <c r="C24" s="6"/>
      <c r="D24" s="6"/>
      <c r="E24" s="6"/>
      <c r="F24" s="6"/>
      <c r="G24" s="6"/>
      <c r="H24" s="6"/>
    </row>
    <row r="25" customFormat="false" ht="15" hidden="false" customHeight="false" outlineLevel="0" collapsed="false">
      <c r="A25" s="11"/>
      <c r="B25" s="11"/>
      <c r="C25" s="6"/>
      <c r="D25" s="6"/>
      <c r="E25" s="6"/>
      <c r="F25" s="6"/>
      <c r="G25" s="6"/>
      <c r="H25" s="6"/>
    </row>
    <row r="26" customFormat="false" ht="15" hidden="false" customHeight="false" outlineLevel="0" collapsed="false">
      <c r="A26" s="11" t="s">
        <v>140</v>
      </c>
      <c r="B26" s="11" t="s">
        <v>141</v>
      </c>
      <c r="C26" s="6"/>
      <c r="D26" s="6"/>
      <c r="E26" s="6"/>
      <c r="F26" s="6"/>
      <c r="G26" s="6"/>
      <c r="H26" s="6"/>
    </row>
    <row r="27" customFormat="false" ht="15" hidden="false" customHeight="false" outlineLevel="0" collapsed="false">
      <c r="A27" s="11" t="s">
        <v>142</v>
      </c>
      <c r="B27" s="39" t="n">
        <f aca="false">B17+B18</f>
        <v>91067.2379451379</v>
      </c>
      <c r="C27" s="6"/>
      <c r="D27" s="6"/>
      <c r="E27" s="6"/>
      <c r="F27" s="6"/>
      <c r="G27" s="6"/>
      <c r="H27" s="6"/>
    </row>
    <row r="28" customFormat="false" ht="15" hidden="false" customHeight="false" outlineLevel="0" collapsed="false">
      <c r="A28" s="11" t="s">
        <v>143</v>
      </c>
      <c r="B28" s="11" t="n">
        <f aca="false">Assumptions!B30</f>
        <v>32162</v>
      </c>
      <c r="C28" s="6"/>
      <c r="D28" s="6"/>
      <c r="E28" s="6"/>
      <c r="F28" s="6"/>
      <c r="G28" s="6"/>
      <c r="H28" s="6"/>
    </row>
    <row r="29" customFormat="false" ht="15" hidden="false" customHeight="false" outlineLevel="0" collapsed="false">
      <c r="A29" s="11" t="s">
        <v>144</v>
      </c>
      <c r="B29" s="11" t="n">
        <f aca="false">G19</f>
        <v>17717.91</v>
      </c>
      <c r="C29" s="6"/>
      <c r="D29" s="6"/>
      <c r="E29" s="6"/>
      <c r="F29" s="6"/>
      <c r="G29" s="6"/>
      <c r="H29" s="6"/>
    </row>
    <row r="30" customFormat="false" ht="15" hidden="false" customHeight="false" outlineLevel="0" collapsed="false">
      <c r="A30" s="11" t="s">
        <v>145</v>
      </c>
      <c r="B30" s="39" t="n">
        <f aca="false">B27+B28+B29</f>
        <v>140947.147945138</v>
      </c>
      <c r="C30" s="6"/>
      <c r="D30" s="6"/>
      <c r="E30" s="6"/>
      <c r="F30" s="6"/>
      <c r="G30" s="6"/>
      <c r="H30" s="6"/>
    </row>
    <row r="31" customFormat="false" ht="15" hidden="false" customHeight="false" outlineLevel="0" collapsed="false">
      <c r="A31" s="11"/>
      <c r="B31" s="11"/>
      <c r="C31" s="6"/>
      <c r="D31" s="6"/>
      <c r="E31" s="6"/>
      <c r="F31" s="6"/>
      <c r="G31" s="6"/>
      <c r="H31" s="6"/>
    </row>
    <row r="32" customFormat="false" ht="15" hidden="false" customHeight="false" outlineLevel="0" collapsed="false">
      <c r="A32" s="31" t="s">
        <v>146</v>
      </c>
      <c r="B32" s="31"/>
      <c r="C32" s="40"/>
      <c r="D32" s="40"/>
      <c r="E32" s="40"/>
      <c r="F32" s="40"/>
      <c r="G32" s="6"/>
      <c r="H32" s="6"/>
    </row>
    <row r="33" customFormat="false" ht="15" hidden="false" customHeight="false" outlineLevel="0" collapsed="false">
      <c r="A33" s="11" t="s">
        <v>147</v>
      </c>
      <c r="B33" s="41" t="n">
        <v>0.085</v>
      </c>
      <c r="C33" s="41" t="n">
        <v>0.09</v>
      </c>
      <c r="D33" s="41" t="n">
        <v>0.095</v>
      </c>
      <c r="E33" s="41" t="n">
        <v>0.1</v>
      </c>
      <c r="F33" s="41" t="n">
        <v>0.105</v>
      </c>
      <c r="G33" s="6"/>
      <c r="H33" s="6"/>
    </row>
    <row r="34" customFormat="false" ht="15" hidden="false" customHeight="false" outlineLevel="0" collapsed="false">
      <c r="A34" s="42" t="n">
        <v>0.01</v>
      </c>
      <c r="B34" s="39" t="n">
        <f aca="false">$D$8/(1+B$33)^1+$E$8/(1+B$33)^2+$F$8/(1+B$33)^3+$G$8/(1+B$33)^4+($G$8*(1+$A34)/(B$33-$A34))/(1+B$33)^4+$B$22+$B$29</f>
        <v>143356.103183748</v>
      </c>
      <c r="C34" s="39" t="n">
        <f aca="false">$D$8/(1+C$33)^1+$E$8/(1+C$33)^2+$F$8/(1+C$33)^3+$G$8/(1+C$33)^4+($G$8*(1+$A34)/(C$33-$A34))/(1+C$33)^4+$B$22+$B$29</f>
        <v>137314.631539054</v>
      </c>
      <c r="D34" s="39" t="n">
        <f aca="false">$D$8/(1+D$33)^1+$E$8/(1+D$33)^2+$F$8/(1+D$33)^3+$G$8/(1+D$33)^4+($G$8*(1+$A34)/(D$33-$A34))/(1+D$33)^4+$B$22+$B$29</f>
        <v>131986.514399672</v>
      </c>
      <c r="E34" s="39" t="n">
        <f aca="false">$D$8/(1+E$33)^1+$E$8/(1+E$33)^2+$F$8/(1+E$33)^3+$G$8/(1+E$33)^4+($G$8*(1+$A34)/(E$33-$A34))/(1+E$33)^4+$B$22+$B$29</f>
        <v>127252.812579514</v>
      </c>
      <c r="F34" s="39" t="n">
        <f aca="false">$D$8/(1+F$33)^1+$E$8/(1+F$33)^2+$F$8/(1+F$33)^3+$G$8/(1+F$33)^4+($G$8*(1+$A34)/(F$33-$A34))/(1+F$33)^4+$B$22+$B$29</f>
        <v>123019.627786659</v>
      </c>
      <c r="G34" s="6"/>
      <c r="H34" s="6"/>
    </row>
    <row r="35" customFormat="false" ht="15" hidden="false" customHeight="false" outlineLevel="0" collapsed="false">
      <c r="A35" s="42" t="n">
        <v>0.015</v>
      </c>
      <c r="B35" s="39" t="n">
        <f aca="false">$D$8/(1+B$33)^1+$E$8/(1+B$33)^2+$F$8/(1+B$33)^3+$G$8/(1+B$33)^4+($G$8*(1+$A35)/(B$33-$A35))/(1+B$33)^4+$B$22+$B$29</f>
        <v>148948.303886824</v>
      </c>
      <c r="C35" s="39" t="n">
        <f aca="false">$D$8/(1+C$33)^1+$E$8/(1+C$33)^2+$F$8/(1+C$33)^3+$G$8/(1+C$33)^4+($G$8*(1+$A35)/(C$33-$A35))/(1+C$33)^4+$B$22+$B$29</f>
        <v>142140.778289436</v>
      </c>
      <c r="D35" s="39" t="n">
        <f aca="false">$D$8/(1+D$33)^1+$E$8/(1+D$33)^2+$F$8/(1+D$33)^3+$G$8/(1+D$33)^4+($G$8*(1+$A35)/(D$33-$A35))/(1+D$33)^4+$B$22+$B$29</f>
        <v>136186.811374109</v>
      </c>
      <c r="E35" s="39" t="n">
        <f aca="false">$D$8/(1+E$33)^1+$E$8/(1+E$33)^2+$F$8/(1+E$33)^3+$G$8/(1+E$33)^4+($G$8*(1+$A35)/(E$33-$A35))/(1+E$33)^4+$B$22+$B$29</f>
        <v>130935.728270208</v>
      </c>
      <c r="F35" s="39" t="n">
        <f aca="false">$D$8/(1+F$33)^1+$E$8/(1+F$33)^2+$F$8/(1+F$33)^3+$G$8/(1+F$33)^4+($G$8*(1+$A35)/(F$33-$A35))/(1+F$33)^4+$B$22+$B$29</f>
        <v>126270.338472876</v>
      </c>
      <c r="G35" s="6"/>
      <c r="H35" s="6"/>
    </row>
    <row r="36" customFormat="false" ht="15" hidden="false" customHeight="false" outlineLevel="0" collapsed="false">
      <c r="A36" s="42" t="n">
        <v>0.02</v>
      </c>
      <c r="B36" s="39" t="n">
        <f aca="false">$D$8/(1+B$33)^1+$E$8/(1+B$33)^2+$F$8/(1+B$33)^3+$G$8/(1+B$33)^4+($G$8*(1+$A36)/(B$33-$A36))/(1+B$33)^4+$B$22+$B$29</f>
        <v>155400.843159605</v>
      </c>
      <c r="C36" s="39" t="n">
        <f aca="false">$D$8/(1+C$33)^1+$E$8/(1+C$33)^2+$F$8/(1+C$33)^3+$G$8/(1+C$33)^4+($G$8*(1+$A36)/(C$33-$A36))/(1+C$33)^4+$B$22+$B$29</f>
        <v>147656.374575586</v>
      </c>
      <c r="D36" s="39" t="n">
        <f aca="false">$D$8/(1+D$33)^1+$E$8/(1+D$33)^2+$F$8/(1+D$33)^3+$G$8/(1+D$33)^4+($G$8*(1+$A36)/(D$33-$A36))/(1+D$33)^4+$B$22+$B$29</f>
        <v>140947.147945138</v>
      </c>
      <c r="E36" s="39" t="n">
        <f aca="false">$D$8/(1+E$33)^1+$E$8/(1+E$33)^2+$F$8/(1+E$33)^3+$G$8/(1+E$33)^4+($G$8*(1+$A36)/(E$33-$A36))/(1+E$33)^4+$B$22+$B$29</f>
        <v>135079.008422239</v>
      </c>
      <c r="F36" s="39" t="n">
        <f aca="false">$D$8/(1+F$33)^1+$E$8/(1+F$33)^2+$F$8/(1+F$33)^3+$G$8/(1+F$33)^4+($G$8*(1+$A36)/(F$33-$A36))/(1+F$33)^4+$B$22+$B$29</f>
        <v>129903.485710413</v>
      </c>
      <c r="G36" s="6"/>
      <c r="H36" s="6"/>
    </row>
    <row r="37" customFormat="false" ht="15" hidden="false" customHeight="false" outlineLevel="0" collapsed="false">
      <c r="A37" s="42" t="n">
        <v>0.025</v>
      </c>
      <c r="B37" s="39" t="n">
        <f aca="false">$D$8/(1+B$33)^1+$E$8/(1+B$33)^2+$F$8/(1+B$33)^3+$G$8/(1+B$33)^4+($G$8*(1+$A37)/(B$33-$A37))/(1+B$33)^4+$B$22+$B$29</f>
        <v>162928.805644516</v>
      </c>
      <c r="C37" s="39" t="n">
        <f aca="false">$D$8/(1+C$33)^1+$E$8/(1+C$33)^2+$F$8/(1+C$33)^3+$G$8/(1+C$33)^4+($G$8*(1+$A37)/(C$33-$A37))/(1+C$33)^4+$B$22+$B$29</f>
        <v>154020.524136529</v>
      </c>
      <c r="D37" s="39" t="n">
        <f aca="false">$D$8/(1+D$33)^1+$E$8/(1+D$33)^2+$F$8/(1+D$33)^3+$G$8/(1+D$33)^4+($G$8*(1+$A37)/(D$33-$A37))/(1+D$33)^4+$B$22+$B$29</f>
        <v>146387.532597742</v>
      </c>
      <c r="E37" s="39" t="n">
        <f aca="false">$D$8/(1+E$33)^1+$E$8/(1+E$33)^2+$F$8/(1+E$33)^3+$G$8/(1+E$33)^4+($G$8*(1+$A37)/(E$33-$A37))/(1+E$33)^4+$B$22+$B$29</f>
        <v>139774.725927874</v>
      </c>
      <c r="F37" s="39" t="n">
        <f aca="false">$D$8/(1+F$33)^1+$E$8/(1+F$33)^2+$F$8/(1+F$33)^3+$G$8/(1+F$33)^4+($G$8*(1+$A37)/(F$33-$A37))/(1+F$33)^4+$B$22+$B$29</f>
        <v>133990.776352642</v>
      </c>
      <c r="G37" s="6"/>
      <c r="H37" s="6"/>
    </row>
    <row r="38" customFormat="false" ht="15" hidden="false" customHeight="false" outlineLevel="0" collapsed="false">
      <c r="A38" s="11"/>
      <c r="B38" s="11"/>
      <c r="C38" s="6"/>
      <c r="D38" s="6"/>
      <c r="E38" s="6"/>
      <c r="F38" s="6"/>
      <c r="G38" s="6"/>
      <c r="H38" s="6"/>
    </row>
    <row r="39" customFormat="false" ht="15" hidden="false" customHeight="false" outlineLevel="0" collapsed="false">
      <c r="A39" s="11"/>
      <c r="B39" s="11"/>
      <c r="C39" s="6"/>
      <c r="D39" s="6"/>
      <c r="E39" s="6"/>
      <c r="F39" s="6"/>
      <c r="G39" s="6"/>
      <c r="H39" s="6"/>
    </row>
    <row r="40" customFormat="false" ht="15" hidden="false" customHeight="false" outlineLevel="0" collapsed="false">
      <c r="A40" s="27"/>
      <c r="B40" s="29"/>
      <c r="C40" s="6"/>
      <c r="D40" s="6"/>
      <c r="E40" s="6"/>
      <c r="F40" s="6"/>
      <c r="G40" s="6"/>
      <c r="H40" s="6"/>
    </row>
    <row r="41" customFormat="false" ht="15" hidden="false" customHeight="false" outlineLevel="0" collapsed="false">
      <c r="A41" s="27" t="s">
        <v>148</v>
      </c>
      <c r="B41" s="29" t="n">
        <f aca="false">B30</f>
        <v>140947.147945138</v>
      </c>
      <c r="C41" s="6"/>
      <c r="D41" s="6"/>
      <c r="E41" s="6"/>
      <c r="F41" s="43" t="s">
        <v>149</v>
      </c>
      <c r="G41" s="43" t="s">
        <v>150</v>
      </c>
      <c r="H41" s="6"/>
    </row>
    <row r="42" customFormat="false" ht="15" hidden="false" customHeight="false" outlineLevel="0" collapsed="false">
      <c r="A42" s="11" t="s">
        <v>67</v>
      </c>
      <c r="B42" s="44" t="n">
        <f aca="false">Assumptions!B33</f>
        <v>962.904</v>
      </c>
      <c r="C42" s="6"/>
      <c r="D42" s="6"/>
      <c r="E42" s="6"/>
      <c r="F42" s="11" t="s">
        <v>151</v>
      </c>
      <c r="G42" s="39" t="n">
        <f aca="false">B44</f>
        <v>41.28</v>
      </c>
      <c r="H42" s="6"/>
    </row>
    <row r="43" customFormat="false" ht="15" hidden="false" customHeight="false" outlineLevel="0" collapsed="false">
      <c r="A43" s="11" t="s">
        <v>152</v>
      </c>
      <c r="B43" s="45" t="n">
        <f aca="false">B41/B42</f>
        <v>146.377154882665</v>
      </c>
      <c r="C43" s="6"/>
      <c r="D43" s="6"/>
      <c r="E43" s="6"/>
      <c r="F43" s="11" t="s">
        <v>153</v>
      </c>
      <c r="G43" s="39" t="n">
        <f aca="false">F34/$B$42</f>
        <v>127.758974712597</v>
      </c>
      <c r="H43" s="6"/>
    </row>
    <row r="44" customFormat="false" ht="15" hidden="false" customHeight="false" outlineLevel="0" collapsed="false">
      <c r="A44" s="11" t="s">
        <v>154</v>
      </c>
      <c r="B44" s="45" t="n">
        <f aca="false">Assumptions!B27</f>
        <v>41.28</v>
      </c>
      <c r="C44" s="6"/>
      <c r="D44" s="6"/>
      <c r="E44" s="6"/>
      <c r="F44" s="11" t="s">
        <v>63</v>
      </c>
      <c r="G44" s="39" t="n">
        <f aca="false">D36/$B$42</f>
        <v>146.377154882665</v>
      </c>
      <c r="H44" s="6"/>
    </row>
    <row r="45" customFormat="false" ht="15" hidden="false" customHeight="false" outlineLevel="0" collapsed="false">
      <c r="A45" s="11" t="s">
        <v>155</v>
      </c>
      <c r="B45" s="46" t="n">
        <f aca="false">B43/B44-1</f>
        <v>2.54595820936689</v>
      </c>
      <c r="C45" s="6"/>
      <c r="D45" s="6"/>
      <c r="E45" s="6"/>
      <c r="F45" s="11" t="s">
        <v>156</v>
      </c>
      <c r="G45" s="39" t="n">
        <f aca="false">B37/$B$42</f>
        <v>169.205658761949</v>
      </c>
      <c r="H45" s="6"/>
    </row>
    <row r="46" customFormat="false" ht="21.5" hidden="false" customHeight="true" outlineLevel="0" collapsed="false">
      <c r="A46" s="11"/>
      <c r="B46" s="45"/>
      <c r="C46" s="6"/>
      <c r="D46" s="6"/>
      <c r="E46" s="6"/>
      <c r="F46" s="6"/>
      <c r="G46" s="6"/>
      <c r="H46" s="6"/>
    </row>
    <row r="47" customFormat="false" ht="21.5" hidden="false" customHeight="true" outlineLevel="0" collapsed="false">
      <c r="A47" s="27"/>
      <c r="B47" s="29"/>
      <c r="C47" s="6"/>
      <c r="D47" s="6"/>
      <c r="E47" s="6"/>
      <c r="F47" s="6"/>
      <c r="G47" s="6"/>
      <c r="H47" s="6"/>
    </row>
    <row r="48" customFormat="false" ht="15" hidden="false" customHeight="false" outlineLevel="0" collapsed="false">
      <c r="E48" s="6"/>
      <c r="F48" s="6"/>
      <c r="G48" s="6"/>
      <c r="H48" s="6"/>
    </row>
    <row r="49" customFormat="false" ht="15" hidden="false" customHeight="false" outlineLevel="0" collapsed="false">
      <c r="E49" s="6"/>
      <c r="F49" s="6"/>
      <c r="G49" s="6"/>
      <c r="H49" s="6"/>
    </row>
    <row r="50" customFormat="false" ht="15" hidden="false" customHeight="false" outlineLevel="0" collapsed="false">
      <c r="E50" s="6"/>
      <c r="F50" s="6"/>
      <c r="G50" s="6"/>
      <c r="H50" s="6"/>
    </row>
    <row r="51" customFormat="false" ht="15" hidden="false" customHeight="false" outlineLevel="0" collapsed="false">
      <c r="E51" s="6"/>
      <c r="F51" s="6"/>
      <c r="G51" s="6"/>
      <c r="H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  <c r="H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  <c r="H53" s="6"/>
    </row>
    <row r="54" customFormat="false" ht="15" hidden="false" customHeight="false" outlineLevel="0" collapsed="false">
      <c r="B54" s="6"/>
      <c r="C54" s="6"/>
      <c r="D54" s="6"/>
      <c r="E54" s="6"/>
      <c r="F54" s="6"/>
      <c r="G54" s="6"/>
      <c r="H54" s="6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6"/>
      <c r="H55" s="6"/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6"/>
      <c r="H56" s="6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  <c r="H57" s="6"/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6"/>
      <c r="H58" s="6"/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6"/>
      <c r="H59" s="6"/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6"/>
      <c r="H60" s="6"/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  <c r="G61" s="6"/>
      <c r="H61" s="6"/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  <c r="G62" s="6"/>
      <c r="H62" s="6"/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  <c r="G63" s="6"/>
      <c r="H63" s="6"/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  <c r="G64" s="6"/>
      <c r="H64" s="6"/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  <c r="G65" s="6"/>
      <c r="H65" s="6"/>
    </row>
    <row r="66" customFormat="false" ht="15" hidden="false" customHeight="false" outlineLevel="0" collapsed="false">
      <c r="A66" s="6"/>
      <c r="B66" s="6"/>
      <c r="C66" s="6"/>
      <c r="D66" s="6"/>
      <c r="E66" s="6"/>
      <c r="F66" s="6"/>
      <c r="G66" s="6"/>
      <c r="H66" s="6"/>
    </row>
    <row r="67" customFormat="false" ht="15" hidden="false" customHeight="false" outlineLevel="0" collapsed="false">
      <c r="A67" s="6"/>
      <c r="B67" s="6"/>
      <c r="C67" s="6"/>
      <c r="D67" s="6"/>
      <c r="E67" s="6"/>
      <c r="F67" s="6"/>
      <c r="G67" s="6"/>
      <c r="H67" s="6"/>
    </row>
    <row r="68" customFormat="false" ht="15" hidden="false" customHeight="false" outlineLevel="0" collapsed="false">
      <c r="A68" s="6"/>
      <c r="B68" s="6"/>
      <c r="C68" s="6"/>
      <c r="D68" s="6"/>
      <c r="E68" s="6"/>
      <c r="F68" s="6"/>
      <c r="G68" s="6"/>
      <c r="H68" s="6"/>
    </row>
    <row r="69" customFormat="false" ht="15" hidden="false" customHeight="false" outlineLevel="0" collapsed="false">
      <c r="A69" s="6"/>
      <c r="B69" s="6"/>
      <c r="C69" s="6"/>
      <c r="D69" s="6"/>
      <c r="E69" s="6"/>
      <c r="F69" s="6"/>
      <c r="G69" s="6"/>
      <c r="H69" s="6"/>
    </row>
    <row r="70" customFormat="false" ht="15" hidden="false" customHeight="false" outlineLevel="0" collapsed="false">
      <c r="A70" s="6"/>
      <c r="B70" s="6"/>
      <c r="C70" s="6"/>
      <c r="D70" s="6"/>
      <c r="E70" s="6"/>
      <c r="F70" s="6"/>
      <c r="G70" s="6"/>
      <c r="H70" s="6"/>
    </row>
    <row r="71" customFormat="false" ht="15" hidden="false" customHeight="false" outlineLevel="0" collapsed="false">
      <c r="A71" s="6"/>
      <c r="B71" s="6"/>
      <c r="C71" s="6"/>
      <c r="D71" s="6"/>
      <c r="E71" s="6"/>
      <c r="F71" s="6"/>
      <c r="G71" s="6"/>
      <c r="H71" s="6"/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  <c r="G72" s="6"/>
      <c r="H72" s="6"/>
    </row>
    <row r="73" customFormat="false" ht="15" hidden="false" customHeight="false" outlineLevel="0" collapsed="false">
      <c r="A73" s="6"/>
      <c r="B73" s="6"/>
      <c r="C73" s="6"/>
      <c r="D73" s="6"/>
      <c r="E73" s="6"/>
      <c r="F73" s="6"/>
      <c r="G73" s="6"/>
      <c r="H73" s="6"/>
    </row>
    <row r="74" customFormat="false" ht="15" hidden="false" customHeight="false" outlineLevel="0" collapsed="false">
      <c r="A74" s="6"/>
      <c r="B74" s="6"/>
      <c r="C74" s="6"/>
      <c r="D74" s="6"/>
      <c r="E74" s="6"/>
      <c r="F74" s="6"/>
      <c r="G74" s="6"/>
      <c r="H74" s="6"/>
    </row>
    <row r="75" customFormat="false" ht="15" hidden="false" customHeight="false" outlineLevel="0" collapsed="false">
      <c r="A75" s="6"/>
      <c r="B75" s="6"/>
      <c r="C75" s="6"/>
      <c r="D75" s="6"/>
      <c r="E75" s="6"/>
      <c r="F75" s="6"/>
      <c r="G75" s="6"/>
      <c r="H75" s="6"/>
    </row>
    <row r="76" customFormat="false" ht="15" hidden="false" customHeight="false" outlineLevel="0" collapsed="false">
      <c r="A76" s="6"/>
      <c r="B76" s="6"/>
      <c r="C76" s="6"/>
      <c r="D76" s="6"/>
      <c r="E76" s="6"/>
      <c r="F76" s="6"/>
      <c r="G76" s="6"/>
      <c r="H76" s="6"/>
    </row>
    <row r="77" customFormat="false" ht="15" hidden="false" customHeight="false" outlineLevel="0" collapsed="false">
      <c r="A77" s="6"/>
      <c r="B77" s="6"/>
      <c r="C77" s="6"/>
      <c r="D77" s="6"/>
      <c r="E77" s="6"/>
      <c r="F77" s="6"/>
      <c r="G77" s="6"/>
      <c r="H77" s="6"/>
    </row>
    <row r="78" customFormat="false" ht="15" hidden="false" customHeight="false" outlineLevel="0" collapsed="false">
      <c r="A78" s="6"/>
      <c r="B78" s="6"/>
      <c r="C78" s="6"/>
      <c r="D78" s="6"/>
      <c r="E78" s="6"/>
      <c r="F78" s="6"/>
      <c r="G78" s="6"/>
      <c r="H78" s="6"/>
    </row>
    <row r="79" customFormat="false" ht="15" hidden="false" customHeight="false" outlineLevel="0" collapsed="false">
      <c r="A79" s="6"/>
      <c r="B79" s="6"/>
      <c r="C79" s="6"/>
      <c r="D79" s="6"/>
      <c r="E79" s="6"/>
      <c r="F79" s="6"/>
      <c r="G79" s="6"/>
      <c r="H79" s="6"/>
    </row>
    <row r="80" customFormat="false" ht="15" hidden="false" customHeight="false" outlineLevel="0" collapsed="false">
      <c r="A80" s="6"/>
      <c r="B80" s="6"/>
      <c r="C80" s="6"/>
      <c r="D80" s="6"/>
      <c r="E80" s="6"/>
      <c r="F80" s="6"/>
      <c r="G80" s="6"/>
      <c r="H80" s="6"/>
    </row>
    <row r="81" customFormat="false" ht="15" hidden="false" customHeight="false" outlineLevel="0" collapsed="false">
      <c r="A81" s="6"/>
      <c r="B81" s="6"/>
      <c r="C81" s="6"/>
      <c r="D81" s="6"/>
      <c r="E81" s="6"/>
      <c r="F81" s="6"/>
      <c r="G81" s="6"/>
      <c r="H81" s="6"/>
    </row>
    <row r="1048576" customFormat="false" ht="12.8" hidden="false" customHeight="false" outlineLevel="0" collapsed="false"/>
  </sheetData>
  <mergeCells count="2">
    <mergeCell ref="A5:G5"/>
    <mergeCell ref="A14:D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8" min="4" style="1" width="13"/>
    <col collapsed="false" customWidth="true" hidden="false" outlineLevel="0" max="10" min="10" style="1" width="17.92"/>
  </cols>
  <sheetData>
    <row r="1" customFormat="false" ht="24" hidden="false" customHeight="true" outlineLevel="0" collapsed="false">
      <c r="A1" s="16" t="s">
        <v>157</v>
      </c>
      <c r="B1" s="16" t="s">
        <v>158</v>
      </c>
      <c r="C1" s="16" t="s">
        <v>158</v>
      </c>
      <c r="D1" s="16" t="s">
        <v>158</v>
      </c>
      <c r="E1" s="16" t="s">
        <v>158</v>
      </c>
      <c r="F1" s="16" t="s">
        <v>158</v>
      </c>
      <c r="G1" s="16" t="s">
        <v>158</v>
      </c>
      <c r="H1" s="16" t="s">
        <v>158</v>
      </c>
    </row>
    <row r="2" customFormat="false" ht="15" hidden="false" customHeight="false" outlineLevel="0" collapsed="false">
      <c r="A2" s="6"/>
      <c r="B2" s="6"/>
      <c r="C2" s="6"/>
      <c r="D2" s="6"/>
      <c r="E2" s="6"/>
      <c r="F2" s="6"/>
      <c r="G2" s="6"/>
      <c r="H2" s="6"/>
    </row>
    <row r="3" customFormat="false" ht="15" hidden="false" customHeight="false" outlineLevel="0" collapsed="false">
      <c r="A3" s="47" t="s">
        <v>159</v>
      </c>
      <c r="B3" s="47" t="s">
        <v>160</v>
      </c>
      <c r="C3" s="6"/>
      <c r="D3" s="17" t="s">
        <v>33</v>
      </c>
      <c r="E3" s="48" t="s">
        <v>34</v>
      </c>
      <c r="F3" s="48" t="s">
        <v>35</v>
      </c>
      <c r="G3" s="48" t="s">
        <v>36</v>
      </c>
      <c r="H3" s="48" t="s">
        <v>37</v>
      </c>
      <c r="J3" s="49" t="s">
        <v>161</v>
      </c>
    </row>
    <row r="4" customFormat="false" ht="15" hidden="false" customHeight="false" outlineLevel="0" collapsed="false">
      <c r="A4" s="6" t="s">
        <v>162</v>
      </c>
      <c r="B4" s="23" t="n">
        <f aca="false">'P&amp;L Forecast'!G4</f>
        <v>148701.257042811</v>
      </c>
      <c r="C4" s="6" t="s">
        <v>163</v>
      </c>
      <c r="D4" s="23" t="n">
        <f aca="false">'P&amp;L Forecast'!C4</f>
        <v>132214</v>
      </c>
      <c r="E4" s="23" t="n">
        <f aca="false">'P&amp;L Forecast'!D4</f>
        <v>129053.203136</v>
      </c>
      <c r="F4" s="23" t="n">
        <f aca="false">'P&amp;L Forecast'!E4</f>
        <v>134551.373118989</v>
      </c>
      <c r="G4" s="23" t="n">
        <f aca="false">'P&amp;L Forecast'!F4</f>
        <v>141513.035906857</v>
      </c>
      <c r="H4" s="50" t="n">
        <f aca="false">'P&amp;L Forecast'!G4</f>
        <v>148701.257042811</v>
      </c>
      <c r="J4" s="1" t="s">
        <v>151</v>
      </c>
      <c r="K4" s="51" t="n">
        <f aca="false">'DCF Valuation'!B44</f>
        <v>41.28</v>
      </c>
    </row>
    <row r="5" customFormat="false" ht="15" hidden="false" customHeight="false" outlineLevel="0" collapsed="false">
      <c r="A5" s="6" t="s">
        <v>164</v>
      </c>
      <c r="B5" s="26" t="n">
        <f aca="false">'P&amp;L Forecast'!G11</f>
        <v>0.075</v>
      </c>
      <c r="C5" s="6" t="s">
        <v>165</v>
      </c>
      <c r="D5" s="23" t="n">
        <f aca="false">'P&amp;L Forecast'!C10</f>
        <v>5820</v>
      </c>
      <c r="E5" s="23" t="n">
        <f aca="false">'P&amp;L Forecast'!D10</f>
        <v>6452.6601568</v>
      </c>
      <c r="F5" s="23" t="n">
        <f aca="false">'P&amp;L Forecast'!E10</f>
        <v>8207.63376025831</v>
      </c>
      <c r="G5" s="23" t="n">
        <f aca="false">'P&amp;L Forecast'!F10</f>
        <v>9481.37340575939</v>
      </c>
      <c r="H5" s="50" t="n">
        <f aca="false">'P&amp;L Forecast'!G10</f>
        <v>11152.5942782108</v>
      </c>
      <c r="J5" s="1" t="s">
        <v>153</v>
      </c>
      <c r="K5" s="51" t="n">
        <f aca="false">'DCF Valuation'!G43</f>
        <v>127.758974712597</v>
      </c>
    </row>
    <row r="6" customFormat="false" ht="15" hidden="false" customHeight="false" outlineLevel="0" collapsed="false">
      <c r="A6" s="6" t="s">
        <v>166</v>
      </c>
      <c r="B6" s="23" t="n">
        <f aca="false">'Cash Flow'!G9</f>
        <v>5649.26450221309</v>
      </c>
      <c r="C6" s="6" t="s">
        <v>167</v>
      </c>
      <c r="D6" s="23" t="n">
        <f aca="false">'Cash Flow'!C9</f>
        <v>1671.4</v>
      </c>
      <c r="E6" s="23" t="n">
        <f aca="false">'Cash Flow'!D9</f>
        <v>3102.349608</v>
      </c>
      <c r="F6" s="23" t="n">
        <f aca="false">'Cash Flow'!E9</f>
        <v>3497.64518242475</v>
      </c>
      <c r="G6" s="23" t="n">
        <f aca="false">'Cash Flow'!F9</f>
        <v>4685.04346065107</v>
      </c>
      <c r="H6" s="50" t="n">
        <f aca="false">'Cash Flow'!G9</f>
        <v>5649.26450221309</v>
      </c>
      <c r="J6" s="1" t="s">
        <v>63</v>
      </c>
      <c r="K6" s="51" t="n">
        <f aca="false">'DCF Valuation'!G44</f>
        <v>146.377154882665</v>
      </c>
    </row>
    <row r="7" customFormat="false" ht="15" hidden="false" customHeight="false" outlineLevel="0" collapsed="false">
      <c r="A7" s="6" t="s">
        <v>168</v>
      </c>
      <c r="B7" s="52" t="n">
        <f aca="false">'DCF Valuation'!B43</f>
        <v>146.377154882665</v>
      </c>
      <c r="C7" s="6"/>
      <c r="D7" s="6"/>
      <c r="E7" s="6"/>
      <c r="F7" s="6"/>
      <c r="G7" s="6"/>
      <c r="H7" s="6"/>
      <c r="J7" s="1" t="s">
        <v>156</v>
      </c>
      <c r="K7" s="51" t="n">
        <f aca="false">'DCF Valuation'!G45</f>
        <v>169.205658761949</v>
      </c>
    </row>
    <row r="8" customFormat="false" ht="15" hidden="false" customHeight="false" outlineLevel="0" collapsed="false">
      <c r="A8" s="6" t="s">
        <v>169</v>
      </c>
      <c r="B8" s="26" t="n">
        <f aca="false">'DCF Valuation'!B45</f>
        <v>2.54595820936689</v>
      </c>
      <c r="C8" s="6"/>
      <c r="D8" s="6"/>
      <c r="E8" s="6"/>
      <c r="F8" s="6"/>
      <c r="G8" s="6"/>
      <c r="H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35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D21" activeCellId="0" sqref="D2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62.6"/>
    <col collapsed="false" customWidth="true" hidden="false" outlineLevel="0" max="2" min="2" style="1" width="18.47"/>
  </cols>
  <sheetData>
    <row r="2" customFormat="false" ht="33" hidden="false" customHeight="true" outlineLevel="0" collapsed="false">
      <c r="B2" s="53" t="s">
        <v>170</v>
      </c>
      <c r="C2" s="53"/>
      <c r="D2" s="53"/>
    </row>
    <row r="3" customFormat="false" ht="25" hidden="false" customHeight="false" outlineLevel="0" collapsed="false">
      <c r="B3" s="54" t="s">
        <v>171</v>
      </c>
    </row>
    <row r="5" customFormat="false" ht="25.5" hidden="false" customHeight="true" outlineLevel="0" collapsed="false">
      <c r="A5" s="55" t="s">
        <v>172</v>
      </c>
      <c r="B5" s="56"/>
      <c r="C5" s="1"/>
    </row>
    <row r="6" customFormat="false" ht="13" hidden="false" customHeight="false" outlineLevel="0" collapsed="false">
      <c r="A6" s="57" t="s">
        <v>173</v>
      </c>
      <c r="B6" s="58" t="s">
        <v>63</v>
      </c>
    </row>
    <row r="7" customFormat="false" ht="13" hidden="false" customHeight="false" outlineLevel="0" collapsed="false">
      <c r="A7" s="33" t="s">
        <v>174</v>
      </c>
      <c r="B7" s="59" t="n">
        <f aca="false">'DCF Valuation'!B44</f>
        <v>41.28</v>
      </c>
    </row>
    <row r="8" customFormat="false" ht="13" hidden="false" customHeight="false" outlineLevel="0" collapsed="false">
      <c r="A8" s="60" t="s">
        <v>175</v>
      </c>
      <c r="B8" s="61" t="n">
        <f aca="false">'DCF Valuation'!B43</f>
        <v>146.377154882665</v>
      </c>
    </row>
    <row r="9" customFormat="false" ht="13" hidden="false" customHeight="false" outlineLevel="0" collapsed="false">
      <c r="A9" s="60" t="s">
        <v>169</v>
      </c>
      <c r="B9" s="62" t="n">
        <f aca="false">'DCF Valuation'!B45</f>
        <v>2.54595820936689</v>
      </c>
    </row>
    <row r="11" customFormat="false" ht="12.8" hidden="false" customHeight="false" outlineLevel="0" collapsed="false">
      <c r="A11" s="63" t="s">
        <v>176</v>
      </c>
      <c r="B11" s="63"/>
      <c r="C11" s="1"/>
    </row>
    <row r="12" customFormat="false" ht="12.8" hidden="false" customHeight="false" outlineLevel="0" collapsed="false">
      <c r="A12" s="63"/>
      <c r="B12" s="63"/>
      <c r="C12" s="1"/>
    </row>
    <row r="13" customFormat="false" ht="12.8" hidden="false" customHeight="false" outlineLevel="0" collapsed="false">
      <c r="A13" s="57"/>
      <c r="B13" s="64"/>
    </row>
    <row r="14" customFormat="false" ht="13" hidden="false" customHeight="false" outlineLevel="0" collapsed="false">
      <c r="A14" s="57" t="s">
        <v>54</v>
      </c>
      <c r="B14" s="65" t="n">
        <f aca="false">Assumptions!B19</f>
        <v>0.095</v>
      </c>
    </row>
    <row r="15" customFormat="false" ht="13" hidden="false" customHeight="false" outlineLevel="0" collapsed="false">
      <c r="A15" s="57" t="s">
        <v>177</v>
      </c>
      <c r="B15" s="65" t="n">
        <f aca="false">Assumptions!B26</f>
        <v>0.02</v>
      </c>
    </row>
    <row r="16" customFormat="false" ht="13" hidden="false" customHeight="false" outlineLevel="0" collapsed="false">
      <c r="A16" s="57" t="s">
        <v>178</v>
      </c>
      <c r="B16" s="64" t="n">
        <f aca="false">'Cash Flow'!G19</f>
        <v>7500</v>
      </c>
    </row>
    <row r="17" customFormat="false" ht="13" hidden="false" customHeight="false" outlineLevel="0" collapsed="false">
      <c r="A17" s="57" t="s">
        <v>179</v>
      </c>
      <c r="B17" s="64" t="n">
        <f aca="false">'DCF Valuation'!G18</f>
        <v>1.47</v>
      </c>
    </row>
    <row r="19" customFormat="false" ht="12.5" hidden="false" customHeight="true" outlineLevel="0" collapsed="false"/>
    <row r="20" customFormat="false" ht="5" hidden="true" customHeight="true" outlineLevel="0" collapsed="false"/>
    <row r="21" customFormat="false" ht="26" hidden="false" customHeight="true" outlineLevel="0" collapsed="false">
      <c r="A21" s="55" t="s">
        <v>180</v>
      </c>
      <c r="B21" s="55"/>
      <c r="C21" s="1"/>
    </row>
    <row r="22" customFormat="false" ht="13" hidden="false" customHeight="false" outlineLevel="0" collapsed="false">
      <c r="A22" s="57" t="s">
        <v>181</v>
      </c>
      <c r="B22" s="66" t="n">
        <f aca="false">'DCF Valuation'!B27</f>
        <v>91067.2379451379</v>
      </c>
    </row>
    <row r="23" customFormat="false" ht="13" hidden="false" customHeight="false" outlineLevel="0" collapsed="false">
      <c r="A23" s="57" t="s">
        <v>182</v>
      </c>
      <c r="B23" s="66" t="n">
        <f aca="false">'DCF Valuation'!B28</f>
        <v>32162</v>
      </c>
    </row>
    <row r="24" customFormat="false" ht="13" hidden="false" customHeight="false" outlineLevel="0" collapsed="false">
      <c r="A24" s="57" t="s">
        <v>183</v>
      </c>
      <c r="B24" s="66" t="n">
        <f aca="false">'DCF Valuation'!B29</f>
        <v>17717.91</v>
      </c>
    </row>
    <row r="25" customFormat="false" ht="13" hidden="false" customHeight="false" outlineLevel="0" collapsed="false">
      <c r="A25" s="60" t="s">
        <v>184</v>
      </c>
      <c r="B25" s="67" t="n">
        <f aca="false">'DCF Valuation'!B30</f>
        <v>140947.147945138</v>
      </c>
    </row>
    <row r="26" customFormat="false" ht="13" hidden="false" customHeight="false" outlineLevel="0" collapsed="false">
      <c r="A26" s="57" t="s">
        <v>67</v>
      </c>
      <c r="B26" s="64" t="n">
        <f aca="false">Assumptions!B33</f>
        <v>962.904</v>
      </c>
    </row>
    <row r="27" customFormat="false" ht="13" hidden="false" customHeight="false" outlineLevel="0" collapsed="false">
      <c r="A27" s="60" t="s">
        <v>152</v>
      </c>
      <c r="B27" s="68" t="n">
        <f aca="false">B25/B26</f>
        <v>146.377154882665</v>
      </c>
    </row>
    <row r="28" customFormat="false" ht="13" hidden="false" customHeight="false" outlineLevel="0" collapsed="false">
      <c r="A28" s="57" t="s">
        <v>174</v>
      </c>
      <c r="B28" s="59" t="n">
        <f aca="false">'DCF Valuation'!B44</f>
        <v>41.28</v>
      </c>
    </row>
    <row r="29" customFormat="false" ht="13" hidden="false" customHeight="false" outlineLevel="0" collapsed="false">
      <c r="A29" s="57" t="s">
        <v>185</v>
      </c>
      <c r="B29" s="69" t="n">
        <f aca="false">(B27/B28)-1</f>
        <v>2.54595820936689</v>
      </c>
    </row>
    <row r="31" customFormat="false" ht="26" hidden="false" customHeight="true" outlineLevel="0" collapsed="false">
      <c r="A31" s="55" t="s">
        <v>186</v>
      </c>
      <c r="B31" s="70"/>
      <c r="C31" s="70"/>
      <c r="D31" s="70"/>
    </row>
    <row r="32" customFormat="false" ht="35" hidden="false" customHeight="false" outlineLevel="0" collapsed="false">
      <c r="A32" s="71" t="s">
        <v>187</v>
      </c>
      <c r="B32" s="71" t="s">
        <v>188</v>
      </c>
      <c r="C32" s="71" t="s">
        <v>189</v>
      </c>
      <c r="D32" s="71" t="s">
        <v>175</v>
      </c>
      <c r="F32" s="11"/>
      <c r="G32" s="11"/>
      <c r="H32" s="11"/>
      <c r="I32" s="11"/>
    </row>
    <row r="33" customFormat="false" ht="13.8" hidden="false" customHeight="false" outlineLevel="0" collapsed="false">
      <c r="A33" s="57" t="s">
        <v>153</v>
      </c>
      <c r="B33" s="69" t="n">
        <f aca="false">Assumptions!B20</f>
        <v>0.105</v>
      </c>
      <c r="C33" s="69" t="n">
        <f aca="false">Assumptions!B21</f>
        <v>0.01</v>
      </c>
      <c r="D33" s="72" t="n">
        <f aca="false">'DCF Valuation'!F34/B26</f>
        <v>127.758974712597</v>
      </c>
      <c r="F33" s="11"/>
      <c r="G33" s="41"/>
      <c r="H33" s="41"/>
      <c r="I33" s="39"/>
    </row>
    <row r="34" customFormat="false" ht="13.8" hidden="false" customHeight="false" outlineLevel="0" collapsed="false">
      <c r="A34" s="60" t="s">
        <v>63</v>
      </c>
      <c r="B34" s="62" t="n">
        <f aca="false">Assumptions!B19</f>
        <v>0.095</v>
      </c>
      <c r="C34" s="62" t="n">
        <f aca="false">Assumptions!B26</f>
        <v>0.02</v>
      </c>
      <c r="D34" s="68" t="n">
        <f aca="false">'DCF Valuation'!D36/B26</f>
        <v>146.377154882665</v>
      </c>
      <c r="F34" s="11"/>
      <c r="G34" s="41"/>
      <c r="H34" s="41"/>
      <c r="I34" s="39"/>
    </row>
    <row r="35" customFormat="false" ht="13.8" hidden="false" customHeight="false" outlineLevel="0" collapsed="false">
      <c r="A35" s="57" t="s">
        <v>190</v>
      </c>
      <c r="B35" s="69" t="n">
        <f aca="false">Assumptions!B22</f>
        <v>0.085</v>
      </c>
      <c r="C35" s="69" t="n">
        <f aca="false">Assumptions!B23</f>
        <v>0.025</v>
      </c>
      <c r="D35" s="73" t="n">
        <f aca="false">'DCF Valuation'!B37/B26</f>
        <v>169.205658761949</v>
      </c>
      <c r="F35" s="11"/>
      <c r="G35" s="41"/>
      <c r="H35" s="41"/>
      <c r="I35" s="39"/>
    </row>
  </sheetData>
  <mergeCells count="3">
    <mergeCell ref="B2:D2"/>
    <mergeCell ref="A11:B12"/>
    <mergeCell ref="A21:B2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13085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2026-10-17T11:22:33Z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